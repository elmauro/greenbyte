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queryTables/queryTable9.xml" ContentType="application/vnd.openxmlformats-officedocument.spreadsheetml.queryTable+xml"/>
  <Override PartName="/xl/tables/table12.xml" ContentType="application/vnd.openxmlformats-officedocument.spreadsheetml.table+xml"/>
  <Override PartName="/xl/queryTables/queryTable10.xml" ContentType="application/vnd.openxmlformats-officedocument.spreadsheetml.queryTable+xml"/>
  <Override PartName="/xl/tables/table13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 hidePivotFieldList="1"/>
  <xr:revisionPtr revIDLastSave="0" documentId="8_{F6A9FD4C-2446-ED4F-9FC8-BA2C024E685E}" xr6:coauthVersionLast="47" xr6:coauthVersionMax="47" xr10:uidLastSave="{00000000-0000-0000-0000-000000000000}"/>
  <bookViews>
    <workbookView xWindow="0" yWindow="680" windowWidth="34200" windowHeight="20380" tabRatio="826" activeTab="3" xr2:uid="{00000000-000D-0000-FFFF-FFFF00000000}"/>
  </bookViews>
  <sheets>
    <sheet name="Main" sheetId="476" r:id="rId1"/>
    <sheet name="Components" sheetId="183" r:id="rId2"/>
    <sheet name="LSV Treatpack" sheetId="464" r:id="rId3"/>
    <sheet name="SSV Treatpack" sheetId="465" r:id="rId4"/>
    <sheet name="Seed Health" sheetId="466" r:id="rId5"/>
    <sheet name="SSV Line 3" sheetId="467" r:id="rId6"/>
    <sheet name="SSV Line 5" sheetId="468" r:id="rId7"/>
    <sheet name="SSV Line 6" sheetId="469" r:id="rId8"/>
    <sheet name="SSV Line 7" sheetId="470" r:id="rId9"/>
    <sheet name="LSV Line 1" sheetId="471" r:id="rId10"/>
    <sheet name="LSV Line 2" sheetId="472" r:id="rId11"/>
    <sheet name="LSV Gravity" sheetId="473" r:id="rId12"/>
    <sheet name="LSV Colorsort" sheetId="474" r:id="rId13"/>
    <sheet name="Resource Info" sheetId="463" r:id="rId14"/>
    <sheet name="Packaging Rates" sheetId="221" r:id="rId15"/>
    <sheet name="Sheet1" sheetId="475" r:id="rId16"/>
  </sheets>
  <definedNames>
    <definedName name="_xlnm._FilterDatabase" localSheetId="0" hidden="1">Main!#REF!</definedName>
    <definedName name="ExternalData_1" localSheetId="12" hidden="1">'LSV Colorsort'!$A$1:$N$2</definedName>
    <definedName name="ExternalData_1" localSheetId="11" hidden="1">'LSV Gravity'!$B$1:$O$23</definedName>
    <definedName name="ExternalData_1" localSheetId="9" hidden="1">'LSV Line 1'!$A$1:$L$16</definedName>
    <definedName name="ExternalData_1" localSheetId="10" hidden="1">'LSV Line 2'!$A$1:$L$41</definedName>
    <definedName name="ExternalData_1" localSheetId="2" hidden="1">'LSV Treatpack'!$A$1:$M$2</definedName>
    <definedName name="ExternalData_1" localSheetId="4" hidden="1">'Seed Health'!$A$1:$N$44</definedName>
    <definedName name="ExternalData_1" localSheetId="5" hidden="1">'SSV Line 3'!$A$1:$N$17</definedName>
    <definedName name="ExternalData_1" localSheetId="6" hidden="1">'SSV Line 5'!$A$1:$N$43</definedName>
    <definedName name="ExternalData_1" localSheetId="7" hidden="1">'SSV Line 6'!$A$1:$N$25</definedName>
    <definedName name="ExternalData_1" localSheetId="8" hidden="1">'SSV Line 7'!$A$1:$N$2</definedName>
    <definedName name="ExternalData_1" localSheetId="3" hidden="1">'SSV Treatpack'!$A$1:$M$2</definedName>
    <definedName name="_xlnm.Print_Area" localSheetId="0">Main!$A$1:$L$1</definedName>
    <definedName name="_xlnm.Print_Titles" localSheetId="0">Main!$1:$1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Main!#REF!</definedName>
    <definedName name="solver_typ" localSheetId="0" hidden="1">1</definedName>
    <definedName name="solver_val" localSheetId="0" hidden="1">0</definedName>
    <definedName name="solver_ver" localSheetId="0" hidden="1">3</definedName>
    <definedName name="TEST0" localSheetId="0">#REF!</definedName>
    <definedName name="TEST0">#REF!</definedName>
    <definedName name="TEST101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oday">TableToday[]</definedName>
    <definedName name="Yesterd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" i="475" l="1"/>
  <c r="P7" i="475"/>
  <c r="P6" i="475"/>
  <c r="P5" i="475"/>
  <c r="P4" i="475"/>
  <c r="E41" i="221"/>
  <c r="D41" i="221"/>
  <c r="B41" i="221"/>
  <c r="E40" i="221"/>
  <c r="D40" i="221"/>
  <c r="B40" i="221"/>
  <c r="E39" i="221"/>
  <c r="D39" i="221"/>
  <c r="B39" i="221"/>
  <c r="E38" i="221"/>
  <c r="D38" i="221"/>
  <c r="B38" i="221"/>
  <c r="E37" i="221"/>
  <c r="D37" i="221"/>
  <c r="B37" i="221"/>
  <c r="E36" i="221"/>
  <c r="D36" i="221"/>
  <c r="B36" i="221"/>
  <c r="D35" i="221"/>
  <c r="C35" i="221"/>
  <c r="B35" i="221"/>
  <c r="D34" i="221"/>
  <c r="C34" i="221"/>
  <c r="B34" i="221"/>
  <c r="D33" i="221"/>
  <c r="B33" i="221"/>
  <c r="D32" i="221"/>
  <c r="B32" i="221"/>
  <c r="E31" i="221"/>
  <c r="D31" i="221"/>
  <c r="B31" i="221"/>
  <c r="E30" i="221"/>
  <c r="D30" i="221"/>
  <c r="B30" i="221"/>
  <c r="E29" i="221"/>
  <c r="D29" i="221"/>
  <c r="B29" i="221"/>
  <c r="E28" i="221"/>
  <c r="D28" i="221"/>
  <c r="B28" i="221"/>
  <c r="E27" i="221"/>
  <c r="D27" i="221"/>
  <c r="B27" i="221"/>
  <c r="E26" i="221"/>
  <c r="D26" i="221"/>
  <c r="B26" i="221"/>
  <c r="E25" i="221"/>
  <c r="D25" i="221"/>
  <c r="B25" i="221"/>
  <c r="E24" i="221"/>
  <c r="D24" i="221"/>
  <c r="B24" i="221"/>
  <c r="E23" i="221"/>
  <c r="D23" i="221"/>
  <c r="B23" i="221"/>
  <c r="E22" i="221"/>
  <c r="D22" i="221"/>
  <c r="B22" i="221"/>
  <c r="J203" i="476"/>
  <c r="K203" i="476" s="1"/>
  <c r="L203" i="476" s="1"/>
  <c r="I203" i="476"/>
  <c r="A203" i="476"/>
  <c r="J202" i="476"/>
  <c r="K202" i="476" s="1"/>
  <c r="L202" i="476" s="1"/>
  <c r="I202" i="476"/>
  <c r="A202" i="476"/>
  <c r="J201" i="476"/>
  <c r="K201" i="476" s="1"/>
  <c r="L201" i="476" s="1"/>
  <c r="I201" i="476"/>
  <c r="A201" i="476"/>
  <c r="J200" i="476"/>
  <c r="K200" i="476" s="1"/>
  <c r="L200" i="476" s="1"/>
  <c r="I200" i="476"/>
  <c r="A200" i="476"/>
  <c r="J199" i="476"/>
  <c r="K199" i="476" s="1"/>
  <c r="L199" i="476" s="1"/>
  <c r="I199" i="476"/>
  <c r="A199" i="476"/>
  <c r="J198" i="476"/>
  <c r="K198" i="476" s="1"/>
  <c r="L198" i="476" s="1"/>
  <c r="I198" i="476"/>
  <c r="A198" i="476"/>
  <c r="J197" i="476"/>
  <c r="K197" i="476" s="1"/>
  <c r="L197" i="476" s="1"/>
  <c r="I197" i="476"/>
  <c r="A197" i="476"/>
  <c r="J196" i="476"/>
  <c r="K196" i="476" s="1"/>
  <c r="L196" i="476" s="1"/>
  <c r="I196" i="476"/>
  <c r="A196" i="476"/>
  <c r="J195" i="476"/>
  <c r="K195" i="476" s="1"/>
  <c r="L195" i="476" s="1"/>
  <c r="I195" i="476"/>
  <c r="A195" i="476"/>
  <c r="J194" i="476"/>
  <c r="K194" i="476" s="1"/>
  <c r="L194" i="476" s="1"/>
  <c r="I194" i="476"/>
  <c r="A194" i="476"/>
  <c r="J193" i="476"/>
  <c r="K193" i="476" s="1"/>
  <c r="L193" i="476" s="1"/>
  <c r="I193" i="476"/>
  <c r="A193" i="476"/>
  <c r="J192" i="476"/>
  <c r="K192" i="476" s="1"/>
  <c r="L192" i="476" s="1"/>
  <c r="I192" i="476"/>
  <c r="A192" i="476"/>
  <c r="J191" i="476"/>
  <c r="K191" i="476" s="1"/>
  <c r="L191" i="476" s="1"/>
  <c r="I191" i="476"/>
  <c r="A191" i="476"/>
  <c r="J190" i="476"/>
  <c r="K190" i="476" s="1"/>
  <c r="L190" i="476" s="1"/>
  <c r="I190" i="476"/>
  <c r="A190" i="476"/>
  <c r="J189" i="476"/>
  <c r="K189" i="476" s="1"/>
  <c r="L189" i="476" s="1"/>
  <c r="I189" i="476"/>
  <c r="A189" i="476"/>
  <c r="J188" i="476"/>
  <c r="K188" i="476" s="1"/>
  <c r="L188" i="476" s="1"/>
  <c r="I188" i="476"/>
  <c r="A188" i="476"/>
  <c r="J187" i="476"/>
  <c r="K187" i="476" s="1"/>
  <c r="L187" i="476" s="1"/>
  <c r="I187" i="476"/>
  <c r="A187" i="476"/>
  <c r="J186" i="476"/>
  <c r="K186" i="476" s="1"/>
  <c r="L186" i="476" s="1"/>
  <c r="I186" i="476"/>
  <c r="A186" i="476"/>
  <c r="J185" i="476"/>
  <c r="K185" i="476" s="1"/>
  <c r="L185" i="476" s="1"/>
  <c r="I185" i="476"/>
  <c r="A185" i="476"/>
  <c r="J184" i="476"/>
  <c r="K184" i="476" s="1"/>
  <c r="L184" i="476" s="1"/>
  <c r="I184" i="476"/>
  <c r="A184" i="476"/>
  <c r="J183" i="476"/>
  <c r="K183" i="476" s="1"/>
  <c r="L183" i="476" s="1"/>
  <c r="I183" i="476"/>
  <c r="A183" i="476"/>
  <c r="J182" i="476"/>
  <c r="K182" i="476" s="1"/>
  <c r="L182" i="476" s="1"/>
  <c r="I182" i="476"/>
  <c r="A182" i="476"/>
  <c r="J181" i="476"/>
  <c r="K181" i="476" s="1"/>
  <c r="L181" i="476" s="1"/>
  <c r="I181" i="476"/>
  <c r="A181" i="476"/>
  <c r="J180" i="476"/>
  <c r="K180" i="476" s="1"/>
  <c r="L180" i="476" s="1"/>
  <c r="I180" i="476"/>
  <c r="A180" i="476"/>
  <c r="J179" i="476"/>
  <c r="K179" i="476" s="1"/>
  <c r="L179" i="476" s="1"/>
  <c r="I179" i="476"/>
  <c r="A179" i="476"/>
  <c r="J178" i="476"/>
  <c r="K178" i="476" s="1"/>
  <c r="L178" i="476" s="1"/>
  <c r="I178" i="476"/>
  <c r="A178" i="476"/>
  <c r="J177" i="476"/>
  <c r="K177" i="476" s="1"/>
  <c r="L177" i="476" s="1"/>
  <c r="I177" i="476"/>
  <c r="A177" i="476"/>
  <c r="J176" i="476"/>
  <c r="K176" i="476" s="1"/>
  <c r="L176" i="476" s="1"/>
  <c r="I176" i="476"/>
  <c r="A176" i="476"/>
  <c r="J175" i="476"/>
  <c r="K175" i="476" s="1"/>
  <c r="L175" i="476" s="1"/>
  <c r="I175" i="476"/>
  <c r="A175" i="476"/>
  <c r="J174" i="476"/>
  <c r="K174" i="476" s="1"/>
  <c r="L174" i="476" s="1"/>
  <c r="I174" i="476"/>
  <c r="A174" i="476"/>
  <c r="J173" i="476"/>
  <c r="K173" i="476" s="1"/>
  <c r="L173" i="476" s="1"/>
  <c r="I173" i="476"/>
  <c r="A173" i="476"/>
  <c r="J172" i="476"/>
  <c r="K172" i="476" s="1"/>
  <c r="L172" i="476" s="1"/>
  <c r="I172" i="476"/>
  <c r="A172" i="476"/>
  <c r="J171" i="476"/>
  <c r="K171" i="476" s="1"/>
  <c r="L171" i="476" s="1"/>
  <c r="I171" i="476"/>
  <c r="A171" i="476"/>
  <c r="J170" i="476"/>
  <c r="K170" i="476" s="1"/>
  <c r="L170" i="476" s="1"/>
  <c r="I170" i="476"/>
  <c r="A170" i="476"/>
  <c r="J169" i="476"/>
  <c r="K169" i="476" s="1"/>
  <c r="L169" i="476" s="1"/>
  <c r="I169" i="476"/>
  <c r="A169" i="476"/>
  <c r="J168" i="476"/>
  <c r="K168" i="476" s="1"/>
  <c r="L168" i="476" s="1"/>
  <c r="I168" i="476"/>
  <c r="A168" i="476"/>
  <c r="J167" i="476"/>
  <c r="K167" i="476" s="1"/>
  <c r="L167" i="476" s="1"/>
  <c r="I167" i="476"/>
  <c r="A167" i="476"/>
  <c r="J166" i="476"/>
  <c r="K166" i="476" s="1"/>
  <c r="L166" i="476" s="1"/>
  <c r="I166" i="476"/>
  <c r="A166" i="476"/>
  <c r="J165" i="476"/>
  <c r="K165" i="476" s="1"/>
  <c r="L165" i="476" s="1"/>
  <c r="I165" i="476"/>
  <c r="A165" i="476"/>
  <c r="J164" i="476"/>
  <c r="K164" i="476" s="1"/>
  <c r="L164" i="476" s="1"/>
  <c r="I164" i="476"/>
  <c r="A164" i="476"/>
  <c r="J163" i="476"/>
  <c r="K163" i="476" s="1"/>
  <c r="L163" i="476" s="1"/>
  <c r="I163" i="476"/>
  <c r="A163" i="476"/>
  <c r="J162" i="476"/>
  <c r="K162" i="476" s="1"/>
  <c r="L162" i="476" s="1"/>
  <c r="I162" i="476"/>
  <c r="A162" i="476"/>
  <c r="J161" i="476"/>
  <c r="K161" i="476" s="1"/>
  <c r="L161" i="476" s="1"/>
  <c r="I161" i="476"/>
  <c r="A161" i="476"/>
  <c r="J160" i="476"/>
  <c r="K160" i="476" s="1"/>
  <c r="L160" i="476" s="1"/>
  <c r="I160" i="476"/>
  <c r="A160" i="476"/>
  <c r="J159" i="476"/>
  <c r="K159" i="476" s="1"/>
  <c r="L159" i="476" s="1"/>
  <c r="I159" i="476"/>
  <c r="A159" i="476"/>
  <c r="J158" i="476"/>
  <c r="K158" i="476" s="1"/>
  <c r="L158" i="476" s="1"/>
  <c r="I158" i="476"/>
  <c r="A158" i="476"/>
  <c r="J157" i="476"/>
  <c r="K157" i="476" s="1"/>
  <c r="L157" i="476" s="1"/>
  <c r="I157" i="476"/>
  <c r="A157" i="476"/>
  <c r="J156" i="476"/>
  <c r="K156" i="476" s="1"/>
  <c r="L156" i="476" s="1"/>
  <c r="I156" i="476"/>
  <c r="A156" i="476"/>
  <c r="J155" i="476"/>
  <c r="K155" i="476" s="1"/>
  <c r="L155" i="476" s="1"/>
  <c r="I155" i="476"/>
  <c r="A155" i="476"/>
  <c r="J154" i="476"/>
  <c r="K154" i="476" s="1"/>
  <c r="L154" i="476" s="1"/>
  <c r="I154" i="476"/>
  <c r="A154" i="476"/>
  <c r="J153" i="476"/>
  <c r="K153" i="476" s="1"/>
  <c r="L153" i="476" s="1"/>
  <c r="I153" i="476"/>
  <c r="A153" i="476"/>
  <c r="J152" i="476"/>
  <c r="K152" i="476" s="1"/>
  <c r="L152" i="476" s="1"/>
  <c r="I152" i="476"/>
  <c r="A152" i="476"/>
  <c r="J151" i="476"/>
  <c r="K151" i="476" s="1"/>
  <c r="L151" i="476" s="1"/>
  <c r="I151" i="476"/>
  <c r="A151" i="476"/>
  <c r="J150" i="476"/>
  <c r="K150" i="476" s="1"/>
  <c r="L150" i="476" s="1"/>
  <c r="I150" i="476"/>
  <c r="A150" i="476"/>
  <c r="J149" i="476"/>
  <c r="K149" i="476" s="1"/>
  <c r="L149" i="476" s="1"/>
  <c r="I149" i="476"/>
  <c r="A149" i="476"/>
  <c r="J148" i="476"/>
  <c r="K148" i="476" s="1"/>
  <c r="L148" i="476" s="1"/>
  <c r="I148" i="476"/>
  <c r="A148" i="476"/>
  <c r="J147" i="476"/>
  <c r="K147" i="476" s="1"/>
  <c r="L147" i="476" s="1"/>
  <c r="I147" i="476"/>
  <c r="A147" i="476"/>
  <c r="J146" i="476"/>
  <c r="K146" i="476" s="1"/>
  <c r="L146" i="476" s="1"/>
  <c r="I146" i="476"/>
  <c r="A146" i="476"/>
  <c r="J145" i="476"/>
  <c r="K145" i="476" s="1"/>
  <c r="L145" i="476" s="1"/>
  <c r="I145" i="476"/>
  <c r="A145" i="476"/>
  <c r="J144" i="476"/>
  <c r="K144" i="476" s="1"/>
  <c r="L144" i="476" s="1"/>
  <c r="I144" i="476"/>
  <c r="A144" i="476"/>
  <c r="J143" i="476"/>
  <c r="K143" i="476" s="1"/>
  <c r="L143" i="476" s="1"/>
  <c r="I143" i="476"/>
  <c r="A143" i="476"/>
  <c r="J142" i="476"/>
  <c r="K142" i="476" s="1"/>
  <c r="L142" i="476" s="1"/>
  <c r="I142" i="476"/>
  <c r="A142" i="476"/>
  <c r="J141" i="476"/>
  <c r="K141" i="476" s="1"/>
  <c r="L141" i="476" s="1"/>
  <c r="I141" i="476"/>
  <c r="A141" i="476"/>
  <c r="J140" i="476"/>
  <c r="K140" i="476" s="1"/>
  <c r="L140" i="476" s="1"/>
  <c r="I140" i="476"/>
  <c r="A140" i="476"/>
  <c r="J139" i="476"/>
  <c r="K139" i="476" s="1"/>
  <c r="L139" i="476" s="1"/>
  <c r="I139" i="476"/>
  <c r="A139" i="476"/>
  <c r="J138" i="476"/>
  <c r="K138" i="476" s="1"/>
  <c r="L138" i="476" s="1"/>
  <c r="I138" i="476"/>
  <c r="A138" i="476"/>
  <c r="J137" i="476"/>
  <c r="K137" i="476" s="1"/>
  <c r="L137" i="476" s="1"/>
  <c r="I137" i="476"/>
  <c r="A137" i="476"/>
  <c r="J136" i="476"/>
  <c r="K136" i="476" s="1"/>
  <c r="L136" i="476" s="1"/>
  <c r="I136" i="476"/>
  <c r="A136" i="476"/>
  <c r="J135" i="476"/>
  <c r="K135" i="476" s="1"/>
  <c r="L135" i="476" s="1"/>
  <c r="I135" i="476"/>
  <c r="A135" i="476"/>
  <c r="J134" i="476"/>
  <c r="K134" i="476" s="1"/>
  <c r="L134" i="476" s="1"/>
  <c r="I134" i="476"/>
  <c r="A134" i="476"/>
  <c r="J133" i="476"/>
  <c r="K133" i="476" s="1"/>
  <c r="L133" i="476" s="1"/>
  <c r="I133" i="476"/>
  <c r="A133" i="476"/>
  <c r="J132" i="476"/>
  <c r="K132" i="476" s="1"/>
  <c r="L132" i="476" s="1"/>
  <c r="I132" i="476"/>
  <c r="A132" i="476"/>
  <c r="J131" i="476"/>
  <c r="K131" i="476" s="1"/>
  <c r="L131" i="476" s="1"/>
  <c r="I131" i="476"/>
  <c r="A131" i="476"/>
  <c r="J130" i="476"/>
  <c r="K130" i="476" s="1"/>
  <c r="L130" i="476" s="1"/>
  <c r="I130" i="476"/>
  <c r="A130" i="476"/>
  <c r="J129" i="476"/>
  <c r="K129" i="476" s="1"/>
  <c r="L129" i="476" s="1"/>
  <c r="I129" i="476"/>
  <c r="A129" i="476"/>
  <c r="J128" i="476"/>
  <c r="K128" i="476" s="1"/>
  <c r="L128" i="476" s="1"/>
  <c r="I128" i="476"/>
  <c r="A128" i="476"/>
  <c r="J127" i="476"/>
  <c r="K127" i="476" s="1"/>
  <c r="L127" i="476" s="1"/>
  <c r="I127" i="476"/>
  <c r="A127" i="476"/>
  <c r="J126" i="476"/>
  <c r="K126" i="476" s="1"/>
  <c r="L126" i="476" s="1"/>
  <c r="I126" i="476"/>
  <c r="A126" i="476"/>
  <c r="J125" i="476"/>
  <c r="K125" i="476" s="1"/>
  <c r="L125" i="476" s="1"/>
  <c r="I125" i="476"/>
  <c r="A125" i="476"/>
  <c r="J124" i="476"/>
  <c r="K124" i="476" s="1"/>
  <c r="L124" i="476" s="1"/>
  <c r="I124" i="476"/>
  <c r="A124" i="476"/>
  <c r="J123" i="476"/>
  <c r="K123" i="476" s="1"/>
  <c r="L123" i="476" s="1"/>
  <c r="I123" i="476"/>
  <c r="A123" i="476"/>
  <c r="J122" i="476"/>
  <c r="K122" i="476" s="1"/>
  <c r="L122" i="476" s="1"/>
  <c r="I122" i="476"/>
  <c r="A122" i="476"/>
  <c r="J121" i="476"/>
  <c r="K121" i="476" s="1"/>
  <c r="L121" i="476" s="1"/>
  <c r="I121" i="476"/>
  <c r="A121" i="476"/>
  <c r="J120" i="476"/>
  <c r="K120" i="476" s="1"/>
  <c r="L120" i="476" s="1"/>
  <c r="I120" i="476"/>
  <c r="A120" i="476"/>
  <c r="J119" i="476"/>
  <c r="K119" i="476" s="1"/>
  <c r="L119" i="476" s="1"/>
  <c r="I119" i="476"/>
  <c r="A119" i="476"/>
  <c r="J118" i="476"/>
  <c r="K118" i="476" s="1"/>
  <c r="L118" i="476" s="1"/>
  <c r="I118" i="476"/>
  <c r="A118" i="476"/>
  <c r="J117" i="476"/>
  <c r="K117" i="476" s="1"/>
  <c r="L117" i="476" s="1"/>
  <c r="I117" i="476"/>
  <c r="A117" i="476"/>
  <c r="J116" i="476"/>
  <c r="K116" i="476" s="1"/>
  <c r="L116" i="476" s="1"/>
  <c r="I116" i="476"/>
  <c r="A116" i="476"/>
  <c r="J115" i="476"/>
  <c r="K115" i="476" s="1"/>
  <c r="L115" i="476" s="1"/>
  <c r="I115" i="476"/>
  <c r="A115" i="476"/>
  <c r="J114" i="476"/>
  <c r="K114" i="476" s="1"/>
  <c r="L114" i="476" s="1"/>
  <c r="I114" i="476"/>
  <c r="A114" i="476"/>
  <c r="J113" i="476"/>
  <c r="K113" i="476" s="1"/>
  <c r="L113" i="476" s="1"/>
  <c r="I113" i="476"/>
  <c r="A113" i="476"/>
  <c r="J112" i="476"/>
  <c r="K112" i="476" s="1"/>
  <c r="L112" i="476" s="1"/>
  <c r="I112" i="476"/>
  <c r="A112" i="476"/>
  <c r="J111" i="476"/>
  <c r="K111" i="476" s="1"/>
  <c r="L111" i="476" s="1"/>
  <c r="I111" i="476"/>
  <c r="A111" i="476"/>
  <c r="J110" i="476"/>
  <c r="K110" i="476" s="1"/>
  <c r="L110" i="476" s="1"/>
  <c r="I110" i="476"/>
  <c r="A110" i="476"/>
  <c r="J109" i="476"/>
  <c r="K109" i="476" s="1"/>
  <c r="L109" i="476" s="1"/>
  <c r="I109" i="476"/>
  <c r="A109" i="476"/>
  <c r="J108" i="476"/>
  <c r="K108" i="476" s="1"/>
  <c r="L108" i="476" s="1"/>
  <c r="I108" i="476"/>
  <c r="A108" i="476"/>
  <c r="J107" i="476"/>
  <c r="K107" i="476" s="1"/>
  <c r="L107" i="476" s="1"/>
  <c r="I107" i="476"/>
  <c r="A107" i="476"/>
  <c r="J106" i="476"/>
  <c r="K106" i="476" s="1"/>
  <c r="L106" i="476" s="1"/>
  <c r="I106" i="476"/>
  <c r="A106" i="476"/>
  <c r="J105" i="476"/>
  <c r="K105" i="476" s="1"/>
  <c r="L105" i="476" s="1"/>
  <c r="I105" i="476"/>
  <c r="A105" i="476"/>
  <c r="J104" i="476"/>
  <c r="K104" i="476" s="1"/>
  <c r="L104" i="476" s="1"/>
  <c r="I104" i="476"/>
  <c r="A104" i="476"/>
  <c r="J103" i="476"/>
  <c r="K103" i="476" s="1"/>
  <c r="L103" i="476" s="1"/>
  <c r="I103" i="476"/>
  <c r="A103" i="476"/>
  <c r="J102" i="476"/>
  <c r="K102" i="476" s="1"/>
  <c r="L102" i="476" s="1"/>
  <c r="I102" i="476"/>
  <c r="A102" i="476"/>
  <c r="J101" i="476"/>
  <c r="K101" i="476" s="1"/>
  <c r="L101" i="476" s="1"/>
  <c r="I101" i="476"/>
  <c r="A101" i="476"/>
  <c r="J100" i="476"/>
  <c r="K100" i="476" s="1"/>
  <c r="L100" i="476" s="1"/>
  <c r="I100" i="476"/>
  <c r="A100" i="476"/>
  <c r="J99" i="476"/>
  <c r="K99" i="476" s="1"/>
  <c r="L99" i="476" s="1"/>
  <c r="I99" i="476"/>
  <c r="A99" i="476"/>
  <c r="J98" i="476"/>
  <c r="K98" i="476" s="1"/>
  <c r="L98" i="476" s="1"/>
  <c r="I98" i="476"/>
  <c r="A98" i="476"/>
  <c r="J97" i="476"/>
  <c r="K97" i="476" s="1"/>
  <c r="L97" i="476" s="1"/>
  <c r="I97" i="476"/>
  <c r="A97" i="476"/>
  <c r="J96" i="476"/>
  <c r="K96" i="476" s="1"/>
  <c r="L96" i="476" s="1"/>
  <c r="I96" i="476"/>
  <c r="A96" i="476"/>
  <c r="J95" i="476"/>
  <c r="K95" i="476" s="1"/>
  <c r="L95" i="476" s="1"/>
  <c r="I95" i="476"/>
  <c r="A95" i="476"/>
  <c r="J94" i="476"/>
  <c r="K94" i="476" s="1"/>
  <c r="L94" i="476" s="1"/>
  <c r="I94" i="476"/>
  <c r="A94" i="476"/>
  <c r="J93" i="476"/>
  <c r="K93" i="476" s="1"/>
  <c r="L93" i="476" s="1"/>
  <c r="I93" i="476"/>
  <c r="A93" i="476"/>
  <c r="J92" i="476"/>
  <c r="K92" i="476" s="1"/>
  <c r="L92" i="476" s="1"/>
  <c r="I92" i="476"/>
  <c r="A92" i="476"/>
  <c r="J91" i="476"/>
  <c r="K91" i="476" s="1"/>
  <c r="L91" i="476" s="1"/>
  <c r="I91" i="476"/>
  <c r="A91" i="476"/>
  <c r="J90" i="476"/>
  <c r="K90" i="476" s="1"/>
  <c r="L90" i="476" s="1"/>
  <c r="I90" i="476"/>
  <c r="A90" i="476"/>
  <c r="J89" i="476"/>
  <c r="K89" i="476" s="1"/>
  <c r="L89" i="476" s="1"/>
  <c r="I89" i="476"/>
  <c r="A89" i="476"/>
  <c r="J88" i="476"/>
  <c r="K88" i="476" s="1"/>
  <c r="L88" i="476" s="1"/>
  <c r="I88" i="476"/>
  <c r="A88" i="476"/>
  <c r="J87" i="476"/>
  <c r="K87" i="476" s="1"/>
  <c r="L87" i="476" s="1"/>
  <c r="I87" i="476"/>
  <c r="A87" i="476"/>
  <c r="J86" i="476"/>
  <c r="K86" i="476" s="1"/>
  <c r="L86" i="476" s="1"/>
  <c r="I86" i="476"/>
  <c r="A86" i="476"/>
  <c r="J85" i="476"/>
  <c r="K85" i="476" s="1"/>
  <c r="L85" i="476" s="1"/>
  <c r="I85" i="476"/>
  <c r="A85" i="476"/>
  <c r="J84" i="476"/>
  <c r="K84" i="476" s="1"/>
  <c r="L84" i="476" s="1"/>
  <c r="I84" i="476"/>
  <c r="A84" i="476"/>
  <c r="J83" i="476"/>
  <c r="K83" i="476" s="1"/>
  <c r="L83" i="476" s="1"/>
  <c r="I83" i="476"/>
  <c r="A83" i="476"/>
  <c r="J82" i="476"/>
  <c r="K82" i="476" s="1"/>
  <c r="L82" i="476" s="1"/>
  <c r="I82" i="476"/>
  <c r="A82" i="476"/>
  <c r="J81" i="476"/>
  <c r="K81" i="476" s="1"/>
  <c r="L81" i="476" s="1"/>
  <c r="I81" i="476"/>
  <c r="A81" i="476"/>
  <c r="J80" i="476"/>
  <c r="K80" i="476" s="1"/>
  <c r="L80" i="476" s="1"/>
  <c r="I80" i="476"/>
  <c r="A80" i="476"/>
  <c r="J79" i="476"/>
  <c r="K79" i="476" s="1"/>
  <c r="L79" i="476" s="1"/>
  <c r="I79" i="476"/>
  <c r="A79" i="476"/>
  <c r="J78" i="476"/>
  <c r="K78" i="476" s="1"/>
  <c r="L78" i="476" s="1"/>
  <c r="I78" i="476"/>
  <c r="A78" i="476"/>
  <c r="J77" i="476"/>
  <c r="K77" i="476" s="1"/>
  <c r="L77" i="476" s="1"/>
  <c r="I77" i="476"/>
  <c r="A77" i="476"/>
  <c r="J76" i="476"/>
  <c r="K76" i="476" s="1"/>
  <c r="L76" i="476" s="1"/>
  <c r="I76" i="476"/>
  <c r="A76" i="476"/>
  <c r="J75" i="476"/>
  <c r="K75" i="476" s="1"/>
  <c r="L75" i="476" s="1"/>
  <c r="I75" i="476"/>
  <c r="A75" i="476"/>
  <c r="J74" i="476"/>
  <c r="K74" i="476" s="1"/>
  <c r="L74" i="476" s="1"/>
  <c r="I74" i="476"/>
  <c r="A74" i="476"/>
  <c r="J73" i="476"/>
  <c r="K73" i="476" s="1"/>
  <c r="L73" i="476" s="1"/>
  <c r="I73" i="476"/>
  <c r="A73" i="476"/>
  <c r="J72" i="476"/>
  <c r="K72" i="476" s="1"/>
  <c r="L72" i="476" s="1"/>
  <c r="I72" i="476"/>
  <c r="A72" i="476"/>
  <c r="J71" i="476"/>
  <c r="K71" i="476" s="1"/>
  <c r="L71" i="476" s="1"/>
  <c r="I71" i="476"/>
  <c r="A71" i="476"/>
  <c r="J70" i="476"/>
  <c r="K70" i="476" s="1"/>
  <c r="L70" i="476" s="1"/>
  <c r="I70" i="476"/>
  <c r="A70" i="476"/>
  <c r="J69" i="476"/>
  <c r="K69" i="476" s="1"/>
  <c r="L69" i="476" s="1"/>
  <c r="I69" i="476"/>
  <c r="A69" i="476"/>
  <c r="J68" i="476"/>
  <c r="K68" i="476" s="1"/>
  <c r="L68" i="476" s="1"/>
  <c r="I68" i="476"/>
  <c r="A68" i="476"/>
  <c r="J67" i="476"/>
  <c r="K67" i="476" s="1"/>
  <c r="L67" i="476" s="1"/>
  <c r="I67" i="476"/>
  <c r="A67" i="476"/>
  <c r="J66" i="476"/>
  <c r="K66" i="476" s="1"/>
  <c r="L66" i="476" s="1"/>
  <c r="I66" i="476"/>
  <c r="A66" i="476"/>
  <c r="J65" i="476"/>
  <c r="K65" i="476" s="1"/>
  <c r="L65" i="476" s="1"/>
  <c r="I65" i="476"/>
  <c r="A65" i="476"/>
  <c r="J64" i="476"/>
  <c r="K64" i="476" s="1"/>
  <c r="L64" i="476" s="1"/>
  <c r="I64" i="476"/>
  <c r="A64" i="476"/>
  <c r="J63" i="476"/>
  <c r="K63" i="476" s="1"/>
  <c r="L63" i="476" s="1"/>
  <c r="I63" i="476"/>
  <c r="A63" i="476"/>
  <c r="J62" i="476"/>
  <c r="K62" i="476" s="1"/>
  <c r="L62" i="476" s="1"/>
  <c r="I62" i="476"/>
  <c r="A62" i="476"/>
  <c r="J61" i="476"/>
  <c r="K61" i="476" s="1"/>
  <c r="L61" i="476" s="1"/>
  <c r="I61" i="476"/>
  <c r="A61" i="476"/>
  <c r="J60" i="476"/>
  <c r="K60" i="476" s="1"/>
  <c r="L60" i="476" s="1"/>
  <c r="I60" i="476"/>
  <c r="A60" i="476"/>
  <c r="J59" i="476"/>
  <c r="K59" i="476" s="1"/>
  <c r="L59" i="476" s="1"/>
  <c r="I59" i="476"/>
  <c r="A59" i="476"/>
  <c r="J58" i="476"/>
  <c r="K58" i="476" s="1"/>
  <c r="L58" i="476" s="1"/>
  <c r="I58" i="476"/>
  <c r="A58" i="476"/>
  <c r="J57" i="476"/>
  <c r="K57" i="476" s="1"/>
  <c r="L57" i="476" s="1"/>
  <c r="I57" i="476"/>
  <c r="A57" i="476"/>
  <c r="J56" i="476"/>
  <c r="K56" i="476" s="1"/>
  <c r="L56" i="476" s="1"/>
  <c r="I56" i="476"/>
  <c r="A56" i="476"/>
  <c r="J55" i="476"/>
  <c r="K55" i="476" s="1"/>
  <c r="L55" i="476" s="1"/>
  <c r="I55" i="476"/>
  <c r="A55" i="476"/>
  <c r="J54" i="476"/>
  <c r="K54" i="476" s="1"/>
  <c r="L54" i="476" s="1"/>
  <c r="I54" i="476"/>
  <c r="A54" i="476"/>
  <c r="J53" i="476"/>
  <c r="K53" i="476" s="1"/>
  <c r="L53" i="476" s="1"/>
  <c r="I53" i="476"/>
  <c r="A53" i="476"/>
  <c r="J52" i="476"/>
  <c r="K52" i="476" s="1"/>
  <c r="L52" i="476" s="1"/>
  <c r="I52" i="476"/>
  <c r="A52" i="476"/>
  <c r="J51" i="476"/>
  <c r="K51" i="476" s="1"/>
  <c r="L51" i="476" s="1"/>
  <c r="I51" i="476"/>
  <c r="A51" i="476"/>
  <c r="J50" i="476"/>
  <c r="K50" i="476" s="1"/>
  <c r="L50" i="476" s="1"/>
  <c r="I50" i="476"/>
  <c r="A50" i="476"/>
  <c r="J49" i="476"/>
  <c r="K49" i="476" s="1"/>
  <c r="L49" i="476" s="1"/>
  <c r="I49" i="476"/>
  <c r="A49" i="476"/>
  <c r="J48" i="476"/>
  <c r="K48" i="476" s="1"/>
  <c r="L48" i="476" s="1"/>
  <c r="I48" i="476"/>
  <c r="A48" i="476"/>
  <c r="J47" i="476"/>
  <c r="K47" i="476" s="1"/>
  <c r="L47" i="476" s="1"/>
  <c r="I47" i="476"/>
  <c r="A47" i="476"/>
  <c r="J46" i="476"/>
  <c r="K46" i="476" s="1"/>
  <c r="L46" i="476" s="1"/>
  <c r="I46" i="476"/>
  <c r="A46" i="476"/>
  <c r="J45" i="476"/>
  <c r="K45" i="476" s="1"/>
  <c r="L45" i="476" s="1"/>
  <c r="I45" i="476"/>
  <c r="A45" i="476"/>
  <c r="J44" i="476"/>
  <c r="K44" i="476" s="1"/>
  <c r="L44" i="476" s="1"/>
  <c r="I44" i="476"/>
  <c r="A44" i="476"/>
  <c r="J43" i="476"/>
  <c r="K43" i="476" s="1"/>
  <c r="L43" i="476" s="1"/>
  <c r="I43" i="476"/>
  <c r="A43" i="476"/>
  <c r="J42" i="476"/>
  <c r="K42" i="476" s="1"/>
  <c r="L42" i="476" s="1"/>
  <c r="I42" i="476"/>
  <c r="A42" i="476"/>
  <c r="J41" i="476"/>
  <c r="K41" i="476" s="1"/>
  <c r="L41" i="476" s="1"/>
  <c r="I41" i="476"/>
  <c r="A41" i="476"/>
  <c r="J40" i="476"/>
  <c r="K40" i="476" s="1"/>
  <c r="L40" i="476" s="1"/>
  <c r="I40" i="476"/>
  <c r="A40" i="476"/>
  <c r="J39" i="476"/>
  <c r="K39" i="476" s="1"/>
  <c r="L39" i="476" s="1"/>
  <c r="I39" i="476"/>
  <c r="A39" i="476"/>
  <c r="J38" i="476"/>
  <c r="K38" i="476" s="1"/>
  <c r="L38" i="476" s="1"/>
  <c r="I38" i="476"/>
  <c r="A38" i="476"/>
  <c r="J37" i="476"/>
  <c r="K37" i="476" s="1"/>
  <c r="L37" i="476" s="1"/>
  <c r="I37" i="476"/>
  <c r="A37" i="476"/>
  <c r="J36" i="476"/>
  <c r="K36" i="476" s="1"/>
  <c r="L36" i="476" s="1"/>
  <c r="I36" i="476"/>
  <c r="A36" i="476"/>
  <c r="J35" i="476"/>
  <c r="K35" i="476" s="1"/>
  <c r="L35" i="476" s="1"/>
  <c r="I35" i="476"/>
  <c r="A35" i="476"/>
  <c r="J34" i="476"/>
  <c r="K34" i="476" s="1"/>
  <c r="L34" i="476" s="1"/>
  <c r="I34" i="476"/>
  <c r="A34" i="476"/>
  <c r="K33" i="476"/>
  <c r="L33" i="476" s="1"/>
  <c r="J33" i="476"/>
  <c r="I33" i="476"/>
  <c r="A33" i="476"/>
  <c r="J32" i="476"/>
  <c r="K32" i="476" s="1"/>
  <c r="L32" i="476" s="1"/>
  <c r="I32" i="476"/>
  <c r="A32" i="476"/>
  <c r="J31" i="476"/>
  <c r="K31" i="476" s="1"/>
  <c r="L31" i="476" s="1"/>
  <c r="I31" i="476"/>
  <c r="A31" i="476"/>
  <c r="J30" i="476"/>
  <c r="K30" i="476" s="1"/>
  <c r="L30" i="476" s="1"/>
  <c r="I30" i="476"/>
  <c r="A30" i="476"/>
  <c r="J29" i="476"/>
  <c r="K29" i="476" s="1"/>
  <c r="L29" i="476" s="1"/>
  <c r="I29" i="476"/>
  <c r="A29" i="476"/>
  <c r="J28" i="476"/>
  <c r="K28" i="476" s="1"/>
  <c r="L28" i="476" s="1"/>
  <c r="I28" i="476"/>
  <c r="A28" i="476"/>
  <c r="J27" i="476"/>
  <c r="K27" i="476" s="1"/>
  <c r="L27" i="476" s="1"/>
  <c r="I27" i="476"/>
  <c r="A27" i="476"/>
  <c r="J26" i="476"/>
  <c r="K26" i="476" s="1"/>
  <c r="L26" i="476" s="1"/>
  <c r="I26" i="476"/>
  <c r="A26" i="476"/>
  <c r="J25" i="476"/>
  <c r="K25" i="476" s="1"/>
  <c r="L25" i="476" s="1"/>
  <c r="I25" i="476"/>
  <c r="A25" i="476"/>
  <c r="J24" i="476"/>
  <c r="K24" i="476" s="1"/>
  <c r="L24" i="476" s="1"/>
  <c r="I24" i="476"/>
  <c r="A24" i="476"/>
  <c r="J23" i="476"/>
  <c r="K23" i="476" s="1"/>
  <c r="L23" i="476" s="1"/>
  <c r="I23" i="476"/>
  <c r="A23" i="476"/>
  <c r="J22" i="476"/>
  <c r="K22" i="476" s="1"/>
  <c r="L22" i="476" s="1"/>
  <c r="I22" i="476"/>
  <c r="A22" i="476"/>
  <c r="J21" i="476"/>
  <c r="K21" i="476" s="1"/>
  <c r="L21" i="476" s="1"/>
  <c r="I21" i="476"/>
  <c r="A21" i="476"/>
  <c r="J20" i="476"/>
  <c r="K20" i="476" s="1"/>
  <c r="L20" i="476" s="1"/>
  <c r="I20" i="476"/>
  <c r="A20" i="476"/>
  <c r="J19" i="476"/>
  <c r="K19" i="476" s="1"/>
  <c r="L19" i="476" s="1"/>
  <c r="I19" i="476"/>
  <c r="A19" i="476"/>
  <c r="J18" i="476"/>
  <c r="K18" i="476" s="1"/>
  <c r="L18" i="476" s="1"/>
  <c r="I18" i="476"/>
  <c r="A18" i="476"/>
  <c r="J17" i="476"/>
  <c r="K17" i="476" s="1"/>
  <c r="L17" i="476" s="1"/>
  <c r="I17" i="476"/>
  <c r="A17" i="476"/>
  <c r="J16" i="476"/>
  <c r="K16" i="476" s="1"/>
  <c r="L16" i="476" s="1"/>
  <c r="I16" i="476"/>
  <c r="A16" i="476"/>
  <c r="J15" i="476"/>
  <c r="K15" i="476" s="1"/>
  <c r="L15" i="476" s="1"/>
  <c r="I15" i="476"/>
  <c r="A15" i="476"/>
  <c r="J14" i="476"/>
  <c r="K14" i="476" s="1"/>
  <c r="L14" i="476" s="1"/>
  <c r="I14" i="476"/>
  <c r="A14" i="476"/>
  <c r="J13" i="476"/>
  <c r="K13" i="476" s="1"/>
  <c r="L13" i="476" s="1"/>
  <c r="I13" i="476"/>
  <c r="A13" i="476"/>
  <c r="J12" i="476"/>
  <c r="K12" i="476" s="1"/>
  <c r="L12" i="476" s="1"/>
  <c r="I12" i="476"/>
  <c r="A12" i="476"/>
  <c r="J11" i="476"/>
  <c r="K11" i="476" s="1"/>
  <c r="L11" i="476" s="1"/>
  <c r="I11" i="476"/>
  <c r="A11" i="476"/>
  <c r="J10" i="476"/>
  <c r="K10" i="476" s="1"/>
  <c r="L10" i="476" s="1"/>
  <c r="I10" i="476"/>
  <c r="A10" i="476"/>
  <c r="J9" i="476"/>
  <c r="K9" i="476" s="1"/>
  <c r="L9" i="476" s="1"/>
  <c r="I9" i="476"/>
  <c r="A9" i="476"/>
  <c r="J8" i="476"/>
  <c r="K8" i="476" s="1"/>
  <c r="L8" i="476" s="1"/>
  <c r="I8" i="476"/>
  <c r="A8" i="476"/>
  <c r="J7" i="476"/>
  <c r="K7" i="476" s="1"/>
  <c r="L7" i="476" s="1"/>
  <c r="I7" i="476"/>
  <c r="A7" i="476"/>
  <c r="J6" i="476"/>
  <c r="K6" i="476" s="1"/>
  <c r="L6" i="476" s="1"/>
  <c r="I6" i="476"/>
  <c r="A6" i="476"/>
  <c r="J5" i="476"/>
  <c r="K5" i="476" s="1"/>
  <c r="L5" i="476" s="1"/>
  <c r="I5" i="476"/>
  <c r="A5" i="476"/>
  <c r="J4" i="476"/>
  <c r="K4" i="476" s="1"/>
  <c r="L4" i="476" s="1"/>
  <c r="I4" i="476"/>
  <c r="A4" i="476"/>
  <c r="J3" i="476"/>
  <c r="K3" i="476" s="1"/>
  <c r="L3" i="476" s="1"/>
  <c r="I3" i="476"/>
  <c r="A3" i="476"/>
  <c r="J2" i="476"/>
  <c r="K2" i="476" s="1"/>
  <c r="L2" i="476" s="1"/>
  <c r="I2" i="476"/>
  <c r="A2" i="476"/>
  <c r="M203" i="476" l="1"/>
  <c r="N203" i="476"/>
  <c r="M202" i="476"/>
  <c r="N202" i="476"/>
  <c r="M201" i="476"/>
  <c r="N201" i="476"/>
  <c r="M200" i="476"/>
  <c r="N200" i="476"/>
  <c r="M199" i="476"/>
  <c r="N199" i="476"/>
  <c r="M198" i="476"/>
  <c r="N198" i="476"/>
  <c r="M197" i="476"/>
  <c r="N197" i="476"/>
  <c r="M196" i="476"/>
  <c r="N196" i="476"/>
  <c r="M195" i="476"/>
  <c r="N195" i="476"/>
  <c r="M194" i="476"/>
  <c r="N194" i="476"/>
  <c r="N193" i="476"/>
  <c r="M193" i="476"/>
  <c r="M192" i="476"/>
  <c r="N192" i="476"/>
  <c r="N191" i="476"/>
  <c r="M191" i="476"/>
  <c r="M190" i="476"/>
  <c r="N190" i="476"/>
  <c r="N189" i="476"/>
  <c r="M189" i="476"/>
  <c r="N188" i="476"/>
  <c r="M188" i="476"/>
  <c r="N187" i="476"/>
  <c r="M187" i="476"/>
  <c r="N186" i="476"/>
  <c r="M186" i="476"/>
  <c r="N185" i="476"/>
  <c r="M185" i="476"/>
  <c r="M184" i="476"/>
  <c r="N184" i="476"/>
  <c r="N183" i="476"/>
  <c r="M183" i="476"/>
  <c r="N182" i="476"/>
  <c r="M182" i="476"/>
  <c r="N181" i="476"/>
  <c r="M181" i="476"/>
  <c r="N180" i="476"/>
  <c r="M180" i="476"/>
  <c r="M179" i="476"/>
  <c r="N179" i="476"/>
  <c r="M178" i="476"/>
  <c r="N178" i="476"/>
  <c r="N177" i="476"/>
  <c r="M177" i="476"/>
  <c r="M176" i="476"/>
  <c r="N176" i="476"/>
  <c r="M175" i="476"/>
  <c r="N175" i="476"/>
  <c r="M174" i="476"/>
  <c r="N174" i="476"/>
  <c r="M173" i="476"/>
  <c r="N173" i="476"/>
  <c r="M172" i="476"/>
  <c r="N172" i="476"/>
  <c r="M171" i="476"/>
  <c r="N171" i="476"/>
  <c r="M170" i="476"/>
  <c r="N170" i="476"/>
  <c r="M169" i="476"/>
  <c r="N169" i="476"/>
  <c r="M168" i="476"/>
  <c r="N168" i="476"/>
  <c r="M167" i="476"/>
  <c r="N167" i="476"/>
  <c r="M166" i="476"/>
  <c r="N166" i="476"/>
  <c r="M165" i="476"/>
  <c r="N165" i="476"/>
  <c r="M164" i="476"/>
  <c r="N164" i="476"/>
  <c r="M163" i="476"/>
  <c r="N163" i="476"/>
  <c r="M162" i="476"/>
  <c r="N162" i="476"/>
  <c r="M161" i="476"/>
  <c r="N161" i="476"/>
  <c r="M160" i="476"/>
  <c r="N160" i="476"/>
  <c r="M159" i="476"/>
  <c r="N159" i="476"/>
  <c r="M158" i="476"/>
  <c r="N158" i="476"/>
  <c r="M157" i="476"/>
  <c r="N157" i="476"/>
  <c r="M156" i="476"/>
  <c r="N156" i="476"/>
  <c r="M155" i="476"/>
  <c r="N155" i="476"/>
  <c r="M154" i="476"/>
  <c r="N154" i="476"/>
  <c r="M153" i="476"/>
  <c r="N153" i="476"/>
  <c r="M152" i="476"/>
  <c r="N152" i="476"/>
  <c r="M151" i="476"/>
  <c r="N151" i="476"/>
  <c r="M150" i="476"/>
  <c r="N150" i="476"/>
  <c r="M149" i="476"/>
  <c r="N149" i="476"/>
  <c r="M148" i="476"/>
  <c r="N148" i="476"/>
  <c r="M147" i="476"/>
  <c r="N147" i="476"/>
  <c r="M146" i="476"/>
  <c r="N146" i="476"/>
  <c r="M145" i="476"/>
  <c r="N145" i="476"/>
  <c r="M144" i="476"/>
  <c r="N144" i="476"/>
  <c r="M143" i="476"/>
  <c r="N143" i="476"/>
  <c r="M142" i="476"/>
  <c r="N142" i="476"/>
  <c r="M141" i="476"/>
  <c r="N141" i="476"/>
  <c r="M140" i="476"/>
  <c r="N140" i="476"/>
  <c r="M139" i="476"/>
  <c r="N139" i="476"/>
  <c r="M138" i="476"/>
  <c r="N138" i="476"/>
  <c r="M137" i="476"/>
  <c r="N137" i="476"/>
  <c r="M136" i="476"/>
  <c r="N136" i="476"/>
  <c r="M135" i="476"/>
  <c r="N135" i="476"/>
  <c r="M134" i="476"/>
  <c r="N134" i="476"/>
  <c r="M133" i="476"/>
  <c r="N133" i="476"/>
  <c r="M132" i="476"/>
  <c r="N132" i="476"/>
  <c r="M131" i="476"/>
  <c r="N131" i="476"/>
  <c r="M130" i="476"/>
  <c r="N130" i="476"/>
  <c r="M129" i="476"/>
  <c r="N129" i="476"/>
  <c r="M128" i="476"/>
  <c r="N128" i="476"/>
  <c r="M127" i="476"/>
  <c r="N127" i="476"/>
  <c r="M126" i="476"/>
  <c r="N126" i="476"/>
  <c r="M125" i="476"/>
  <c r="N125" i="476"/>
  <c r="M124" i="476"/>
  <c r="N124" i="476"/>
  <c r="M123" i="476"/>
  <c r="N123" i="476"/>
  <c r="M122" i="476"/>
  <c r="N122" i="476"/>
  <c r="M121" i="476"/>
  <c r="N121" i="476"/>
  <c r="M120" i="476"/>
  <c r="N120" i="476"/>
  <c r="M119" i="476"/>
  <c r="N119" i="476"/>
  <c r="M118" i="476"/>
  <c r="N118" i="476"/>
  <c r="M117" i="476"/>
  <c r="N117" i="476"/>
  <c r="M116" i="476"/>
  <c r="N116" i="476"/>
  <c r="M115" i="476"/>
  <c r="N115" i="476"/>
  <c r="M114" i="476"/>
  <c r="N114" i="476"/>
  <c r="M113" i="476"/>
  <c r="N113" i="476"/>
  <c r="M112" i="476"/>
  <c r="N112" i="476"/>
  <c r="M111" i="476"/>
  <c r="N111" i="476"/>
  <c r="M110" i="476"/>
  <c r="N110" i="476"/>
  <c r="M109" i="476"/>
  <c r="N109" i="476"/>
  <c r="M108" i="476"/>
  <c r="N108" i="476"/>
  <c r="M107" i="476"/>
  <c r="N107" i="476"/>
  <c r="M106" i="476"/>
  <c r="N106" i="476"/>
  <c r="M105" i="476"/>
  <c r="N105" i="476"/>
  <c r="M104" i="476"/>
  <c r="N104" i="476"/>
  <c r="M103" i="476"/>
  <c r="N103" i="476"/>
  <c r="M102" i="476"/>
  <c r="N102" i="476"/>
  <c r="M101" i="476"/>
  <c r="N101" i="476"/>
  <c r="M100" i="476"/>
  <c r="N100" i="476"/>
  <c r="M99" i="476"/>
  <c r="N99" i="476"/>
  <c r="M98" i="476"/>
  <c r="N98" i="476"/>
  <c r="M97" i="476"/>
  <c r="N97" i="476"/>
  <c r="M96" i="476"/>
  <c r="N96" i="476"/>
  <c r="M95" i="476"/>
  <c r="N95" i="476"/>
  <c r="M94" i="476"/>
  <c r="N94" i="476"/>
  <c r="M93" i="476"/>
  <c r="N93" i="476"/>
  <c r="M92" i="476"/>
  <c r="N92" i="476"/>
  <c r="M91" i="476"/>
  <c r="N91" i="476"/>
  <c r="M90" i="476"/>
  <c r="N90" i="476"/>
  <c r="N89" i="476"/>
  <c r="M89" i="476"/>
  <c r="M88" i="476"/>
  <c r="N88" i="476"/>
  <c r="M87" i="476"/>
  <c r="N87" i="476"/>
  <c r="M86" i="476"/>
  <c r="N86" i="476"/>
  <c r="M85" i="476"/>
  <c r="N85" i="476"/>
  <c r="M84" i="476"/>
  <c r="N84" i="476"/>
  <c r="N83" i="476"/>
  <c r="M83" i="476"/>
  <c r="M82" i="476"/>
  <c r="N82" i="476"/>
  <c r="M81" i="476"/>
  <c r="N81" i="476"/>
  <c r="N80" i="476"/>
  <c r="M80" i="476"/>
  <c r="M79" i="476"/>
  <c r="N79" i="476"/>
  <c r="M78" i="476"/>
  <c r="N78" i="476"/>
  <c r="M77" i="476"/>
  <c r="N77" i="476"/>
  <c r="M76" i="476"/>
  <c r="N76" i="476"/>
  <c r="M75" i="476"/>
  <c r="N75" i="476"/>
  <c r="M74" i="476"/>
  <c r="N74" i="476"/>
  <c r="M73" i="476"/>
  <c r="N73" i="476"/>
  <c r="M72" i="476"/>
  <c r="N72" i="476"/>
  <c r="M71" i="476"/>
  <c r="N71" i="476"/>
  <c r="M70" i="476"/>
  <c r="N70" i="476"/>
  <c r="M69" i="476"/>
  <c r="N69" i="476"/>
  <c r="M68" i="476"/>
  <c r="N68" i="476"/>
  <c r="M67" i="476"/>
  <c r="N67" i="476"/>
  <c r="M66" i="476"/>
  <c r="N66" i="476"/>
  <c r="M65" i="476"/>
  <c r="N65" i="476"/>
  <c r="M64" i="476"/>
  <c r="N64" i="476"/>
  <c r="M63" i="476"/>
  <c r="N63" i="476"/>
  <c r="M62" i="476"/>
  <c r="N62" i="476"/>
  <c r="M61" i="476"/>
  <c r="N61" i="476"/>
  <c r="M60" i="476"/>
  <c r="N60" i="476"/>
  <c r="M59" i="476"/>
  <c r="N59" i="476"/>
  <c r="M58" i="476"/>
  <c r="N58" i="476"/>
  <c r="M57" i="476"/>
  <c r="N57" i="476"/>
  <c r="M56" i="476"/>
  <c r="N56" i="476"/>
  <c r="M55" i="476"/>
  <c r="N55" i="476"/>
  <c r="M54" i="476"/>
  <c r="N54" i="476"/>
  <c r="M53" i="476"/>
  <c r="N53" i="476"/>
  <c r="M52" i="476"/>
  <c r="N52" i="476"/>
  <c r="M51" i="476"/>
  <c r="N51" i="476"/>
  <c r="M50" i="476"/>
  <c r="N50" i="476"/>
  <c r="M49" i="476"/>
  <c r="N49" i="476"/>
  <c r="M48" i="476"/>
  <c r="N48" i="476"/>
  <c r="M47" i="476"/>
  <c r="N47" i="476"/>
  <c r="M46" i="476"/>
  <c r="N46" i="476"/>
  <c r="M45" i="476"/>
  <c r="N45" i="476"/>
  <c r="M44" i="476"/>
  <c r="N44" i="476"/>
  <c r="M43" i="476"/>
  <c r="N43" i="476"/>
  <c r="M42" i="476"/>
  <c r="N42" i="476"/>
  <c r="M41" i="476"/>
  <c r="N41" i="476"/>
  <c r="M40" i="476"/>
  <c r="N40" i="476"/>
  <c r="M39" i="476"/>
  <c r="N39" i="476"/>
  <c r="M38" i="476"/>
  <c r="N38" i="476"/>
  <c r="M37" i="476"/>
  <c r="N37" i="476"/>
  <c r="M36" i="476"/>
  <c r="N36" i="476"/>
  <c r="N35" i="476"/>
  <c r="M35" i="476"/>
  <c r="M34" i="476"/>
  <c r="N34" i="476"/>
  <c r="N33" i="476"/>
  <c r="M33" i="476"/>
  <c r="M32" i="476"/>
  <c r="N32" i="476"/>
  <c r="M31" i="476"/>
  <c r="N31" i="476"/>
  <c r="M30" i="476"/>
  <c r="N30" i="476"/>
  <c r="M29" i="476"/>
  <c r="N29" i="476"/>
  <c r="M28" i="476"/>
  <c r="N28" i="476"/>
  <c r="M27" i="476"/>
  <c r="N27" i="476"/>
  <c r="M26" i="476"/>
  <c r="N26" i="476"/>
  <c r="M25" i="476"/>
  <c r="N25" i="476"/>
  <c r="M24" i="476"/>
  <c r="N24" i="476"/>
  <c r="M23" i="476"/>
  <c r="N23" i="476"/>
  <c r="M22" i="476"/>
  <c r="N22" i="476"/>
  <c r="M21" i="476"/>
  <c r="N21" i="476"/>
  <c r="M20" i="476"/>
  <c r="N20" i="476"/>
  <c r="M19" i="476"/>
  <c r="N19" i="476"/>
  <c r="N18" i="476"/>
  <c r="M18" i="476"/>
  <c r="N17" i="476"/>
  <c r="M17" i="476"/>
  <c r="N16" i="476"/>
  <c r="M16" i="476"/>
  <c r="M15" i="476"/>
  <c r="N15" i="476"/>
  <c r="N14" i="476"/>
  <c r="M14" i="476"/>
  <c r="M13" i="476"/>
  <c r="N13" i="476"/>
  <c r="N12" i="476"/>
  <c r="M12" i="476"/>
  <c r="N11" i="476"/>
  <c r="M11" i="476"/>
  <c r="N10" i="476"/>
  <c r="M10" i="476"/>
  <c r="M9" i="476"/>
  <c r="N9" i="476"/>
  <c r="N8" i="476"/>
  <c r="M8" i="476"/>
  <c r="N7" i="476"/>
  <c r="M7" i="476"/>
  <c r="N6" i="476"/>
  <c r="M6" i="476"/>
  <c r="N5" i="476"/>
  <c r="M5" i="476"/>
  <c r="N4" i="476"/>
  <c r="M4" i="476"/>
  <c r="M3" i="476"/>
  <c r="N3" i="476"/>
  <c r="N2" i="476"/>
  <c r="M2" i="4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Aubrey Pitzer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=IFERROR(IF(VLOOKUP(F4,Yesterday!F:T,15,FALSE)=0,"",VLOOKUP(F4,Yesterday!F:T,15,FALSE)),"")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4F094-4B2C-44DD-8FAE-CAC11DC1D14E}" keepAlive="1" name="Query - LSV Colorsort" description="Connection to the 'LSV Colorsort' query in the workbook." type="5" refreshedVersion="8" saveData="1">
    <dbPr connection="Provider=Microsoft.Mashup.OleDb.1;Data Source=$Workbook$;Location=LSV Colorsort;Extended Properties=&quot;&quot;" command="SELECT * FROM [LSV Colorsort]"/>
  </connection>
  <connection id="2" xr16:uid="{E1E077BE-7FA8-4F32-AC8A-018413503FE0}" keepAlive="1" name="Query - LSV Gravity" description="Connection to the 'LSV Gravity' query in the workbook." type="5" refreshedVersion="8" saveData="1">
    <dbPr connection="Provider=Microsoft.Mashup.OleDb.1;Data Source=$Workbook$;Location=LSV Gravity;Extended Properties=&quot;&quot;" command="SELECT * FROM [LSV Gravity]"/>
  </connection>
  <connection id="3" xr16:uid="{1AF914BE-92A5-4FA1-922A-2DE260A67776}" keepAlive="1" name="Query - LSV Line 1" description="Connection to the 'LSV Line 1' query in the workbook." type="5" refreshedVersion="8" saveData="1">
    <dbPr connection="Provider=Microsoft.Mashup.OleDb.1;Data Source=$Workbook$;Location=LSV Line 1;Extended Properties=&quot;&quot;" command="SELECT * FROM [LSV Line 1]"/>
  </connection>
  <connection id="4" xr16:uid="{D2B20075-2439-41A7-85C4-F6B522C45391}" keepAlive="1" name="Query - LSV Line 2" description="Connection to the 'LSV Line 2' query in the workbook." type="5" refreshedVersion="8" saveData="1">
    <dbPr connection="Provider=Microsoft.Mashup.OleDb.1;Data Source=$Workbook$;Location=LSV Line 2;Extended Properties=&quot;&quot;" command="SELECT * FROM [LSV Line 2]"/>
  </connection>
  <connection id="5" xr16:uid="{A42004C0-6221-41A1-A495-D3B3120703D9}" keepAlive="1" name="Query - LSV Treatpack" description="Connection to the 'LSV Treatpack' query in the workbook." type="5" refreshedVersion="8" saveData="1">
    <dbPr connection="Provider=Microsoft.Mashup.OleDb.1;Data Source=$Workbook$;Location=LSV Treatpack;Extended Properties=&quot;&quot;" command="SELECT * FROM [LSV Treatpack]"/>
  </connection>
  <connection id="6" xr16:uid="{C58FA3BA-6232-4E84-8223-7C41D1735BDF}" keepAlive="1" name="Query - Seed Health" description="Connection to the 'Seed Health' query in the workbook." type="5" refreshedVersion="8" saveData="1">
    <dbPr connection="Provider=Microsoft.Mashup.OleDb.1;Data Source=$Workbook$;Location=Seed Health;Extended Properties=&quot;&quot;" command="SELECT * FROM [Seed Health]"/>
  </connection>
  <connection id="7" xr16:uid="{D9D82E87-D6CC-4950-9626-35EB0BE1EB70}" keepAlive="1" name="Query - SSV Line 3" description="Connection to the 'SSV Line 3' query in the workbook." type="5" refreshedVersion="8" saveData="1">
    <dbPr connection="Provider=Microsoft.Mashup.OleDb.1;Data Source=$Workbook$;Location=SSV Line 3;Extended Properties=&quot;&quot;" command="SELECT * FROM [SSV Line 3]"/>
  </connection>
  <connection id="8" xr16:uid="{EDFECED6-768F-43B7-B684-785B69E96C9D}" keepAlive="1" name="Query - SSV Line 5" description="Connection to the 'SSV Line 5' query in the workbook." type="5" refreshedVersion="8" saveData="1">
    <dbPr connection="Provider=Microsoft.Mashup.OleDb.1;Data Source=$Workbook$;Location=SSV Line 5;Extended Properties=&quot;&quot;" command="SELECT * FROM [SSV Line 5]"/>
  </connection>
  <connection id="9" xr16:uid="{1D3A804E-FCAC-4EEE-B578-B3D04CE8271F}" keepAlive="1" name="Query - SSV Line 6" description="Connection to the 'SSV Line 6' query in the workbook." type="5" refreshedVersion="8" saveData="1">
    <dbPr connection="Provider=Microsoft.Mashup.OleDb.1;Data Source=$Workbook$;Location=SSV Line 6;Extended Properties=&quot;&quot;" command="SELECT * FROM [SSV Line 6]"/>
  </connection>
  <connection id="10" xr16:uid="{67FBE139-3E41-42A3-8D66-C94C85A1DBE4}" keepAlive="1" name="Query - SSV Line 7" description="Connection to the 'SSV Line 7' query in the workbook." type="5" refreshedVersion="8" saveData="1">
    <dbPr connection="Provider=Microsoft.Mashup.OleDb.1;Data Source=$Workbook$;Location=SSV Line 7;Extended Properties=&quot;&quot;" command="SELECT * FROM [SSV Line 7]"/>
  </connection>
  <connection id="11" xr16:uid="{7F6CDE6B-A5C7-4A2A-A2C6-19825A255AAE}" keepAlive="1" name="Query - SSV Treatpack" description="Connection to the 'SSV Treatpack' query in the workbook." type="5" refreshedVersion="8" saveData="1">
    <dbPr connection="Provider=Microsoft.Mashup.OleDb.1;Data Source=$Workbook$;Location=SSV Treatpack;Extended Properties=&quot;&quot;" command="SELECT * FROM [SSV Treatpack]"/>
  </connection>
</connections>
</file>

<file path=xl/sharedStrings.xml><?xml version="1.0" encoding="utf-8"?>
<sst xmlns="http://schemas.openxmlformats.org/spreadsheetml/2006/main" count="3196" uniqueCount="394">
  <si>
    <t>Crop</t>
  </si>
  <si>
    <t>Material 
Description</t>
  </si>
  <si>
    <t>Prod. Order</t>
  </si>
  <si>
    <t>Output
Qty</t>
  </si>
  <si>
    <t>UOM</t>
  </si>
  <si>
    <t>Scheduled Finish Date (SAP)</t>
  </si>
  <si>
    <t>Notes:</t>
  </si>
  <si>
    <t>Priority</t>
  </si>
  <si>
    <t>PO Status</t>
  </si>
  <si>
    <t>WorkCenter</t>
  </si>
  <si>
    <t>Pack Line</t>
  </si>
  <si>
    <t>Department</t>
  </si>
  <si>
    <t>Hours</t>
  </si>
  <si>
    <t>Capacity</t>
  </si>
  <si>
    <t>KG</t>
  </si>
  <si>
    <t>SWCO RAX-CLX SUP INT Ln1</t>
  </si>
  <si>
    <t>SWCO GSS3951 CRS CLX ZZZ BK KG</t>
  </si>
  <si>
    <t>SWCO GH6055 CRN CLX ZZZ BK KG</t>
  </si>
  <si>
    <t>SWCO RAX-CLX STD INT Ln1</t>
  </si>
  <si>
    <t>SQCO RAW RDY Ln1 INT</t>
  </si>
  <si>
    <t>KS</t>
  </si>
  <si>
    <t>WACO RDY LN3 SDL INT</t>
  </si>
  <si>
    <t>SWCO GSS1170-R CRS RDF ZZZ BK KG</t>
  </si>
  <si>
    <t>SWCO RAW RDY SUP INT Ln1</t>
  </si>
  <si>
    <t>BEBS R302089 S RDY ZZZ BK KG</t>
  </si>
  <si>
    <t>BEBS RAW RDY Ln2 INT</t>
  </si>
  <si>
    <t>TOCO QUALI T 47 DET RDH ZZZ BK KS</t>
  </si>
  <si>
    <t>TOCO RAW RDH Bac INT</t>
  </si>
  <si>
    <t>TOCO BQ400 PRC RDH ZZZ BK KS</t>
  </si>
  <si>
    <t>CUBS CL278 LNG RDH ZZZ BK KS</t>
  </si>
  <si>
    <t>CUBS RAW RDH-HOT AIR INT</t>
  </si>
  <si>
    <t>TOBS TP228 PRC RDY ZZZ BK KS</t>
  </si>
  <si>
    <t>TOBS RAW RDY INT</t>
  </si>
  <si>
    <t>All Components</t>
  </si>
  <si>
    <t>Process Order</t>
  </si>
  <si>
    <t>Resource</t>
  </si>
  <si>
    <t>PASSHLTH</t>
  </si>
  <si>
    <t>LSVGRVTY</t>
  </si>
  <si>
    <t>SSVRPR5</t>
  </si>
  <si>
    <t>SSVRPR3</t>
  </si>
  <si>
    <t>SSVLN5</t>
  </si>
  <si>
    <t>LSVLN1</t>
  </si>
  <si>
    <t>LSVLN2</t>
  </si>
  <si>
    <t>SSVLN3</t>
  </si>
  <si>
    <t>SSVLN6</t>
  </si>
  <si>
    <t>LSVCLSRT</t>
  </si>
  <si>
    <t>SSVRPR6</t>
  </si>
  <si>
    <t>CUBS</t>
  </si>
  <si>
    <t>NEW</t>
  </si>
  <si>
    <t>Seed Health</t>
  </si>
  <si>
    <t/>
  </si>
  <si>
    <t>CACO</t>
  </si>
  <si>
    <t>TOCO</t>
  </si>
  <si>
    <t>BRCO</t>
  </si>
  <si>
    <t>WCCO</t>
  </si>
  <si>
    <t>SQCO</t>
  </si>
  <si>
    <t>SSV Line 3</t>
  </si>
  <si>
    <t>SSV Conditioning</t>
  </si>
  <si>
    <t>MECO</t>
  </si>
  <si>
    <t>SSV Line 3 Repair</t>
  </si>
  <si>
    <t>WACO</t>
  </si>
  <si>
    <t>TOBS</t>
  </si>
  <si>
    <t>SSV Line 5</t>
  </si>
  <si>
    <t>CFBS</t>
  </si>
  <si>
    <t>SSV Line 5 Repair</t>
  </si>
  <si>
    <t>SSV Line 6</t>
  </si>
  <si>
    <t>SSV Line 6 Repair</t>
  </si>
  <si>
    <t>SWCO</t>
  </si>
  <si>
    <t>LSV Line 1</t>
  </si>
  <si>
    <t>LSV Conditioning</t>
  </si>
  <si>
    <t>BEBS</t>
  </si>
  <si>
    <t>LSV Line 2</t>
  </si>
  <si>
    <t>LSV Gravity</t>
  </si>
  <si>
    <t>SWBS</t>
  </si>
  <si>
    <t>LSV Colorsort</t>
  </si>
  <si>
    <t>Work Center</t>
  </si>
  <si>
    <t>SSVLN7</t>
  </si>
  <si>
    <t>SSV Line 7</t>
  </si>
  <si>
    <t>SSVRPR7</t>
  </si>
  <si>
    <t>SSV Line 7 Repair</t>
  </si>
  <si>
    <t>LSVBULK</t>
  </si>
  <si>
    <t>LSV Bulk</t>
  </si>
  <si>
    <t>LSV Treatpack</t>
  </si>
  <si>
    <t>LSVBAGCO</t>
  </si>
  <si>
    <t>LSV Concetti</t>
  </si>
  <si>
    <t>LSVBAGSA</t>
  </si>
  <si>
    <t>LSV Stand Alone</t>
  </si>
  <si>
    <t>SSVFOIL1</t>
  </si>
  <si>
    <t>SSV Line 1</t>
  </si>
  <si>
    <t>SSV Treatpack</t>
  </si>
  <si>
    <t>SSVFOIL2</t>
  </si>
  <si>
    <t>SSV Line 2</t>
  </si>
  <si>
    <t>PASFOIL</t>
  </si>
  <si>
    <t>SSV S60</t>
  </si>
  <si>
    <t>SSVS60</t>
  </si>
  <si>
    <t>SSVBULK</t>
  </si>
  <si>
    <t>SSV Bulk</t>
  </si>
  <si>
    <t>SHHWT</t>
  </si>
  <si>
    <t>Hot Water Treat</t>
  </si>
  <si>
    <t>SHNACL</t>
  </si>
  <si>
    <t>Sodium Chloride</t>
  </si>
  <si>
    <t>SHTSP</t>
  </si>
  <si>
    <t>TSP</t>
  </si>
  <si>
    <t>SHPRIME</t>
  </si>
  <si>
    <t>Priming</t>
  </si>
  <si>
    <t>SHHAT</t>
  </si>
  <si>
    <t>Hot Air Treat</t>
  </si>
  <si>
    <t>TRT50</t>
  </si>
  <si>
    <t>Heid 50</t>
  </si>
  <si>
    <t>Treating Lines</t>
  </si>
  <si>
    <t>TRT250</t>
  </si>
  <si>
    <t>Heid 250</t>
  </si>
  <si>
    <t>TRTFBT</t>
  </si>
  <si>
    <t>Fluidized Batch Treater</t>
  </si>
  <si>
    <t>TRTHP350</t>
  </si>
  <si>
    <t>Hoopman 350</t>
  </si>
  <si>
    <t>TRTHP600</t>
  </si>
  <si>
    <t>Hoopman 600</t>
  </si>
  <si>
    <t>Packaging Times</t>
  </si>
  <si>
    <t>Equipment</t>
  </si>
  <si>
    <t>Units Per Hour</t>
  </si>
  <si>
    <t>Cleandown</t>
  </si>
  <si>
    <t>Treating Times</t>
  </si>
  <si>
    <t>Per Hour</t>
  </si>
  <si>
    <t>Heid250</t>
  </si>
  <si>
    <t>Heid50</t>
  </si>
  <si>
    <t>Hoopman</t>
  </si>
  <si>
    <t>SSV  Manufacturer Rates</t>
  </si>
  <si>
    <t>SSV Target Rates/hour</t>
  </si>
  <si>
    <t>S-60</t>
  </si>
  <si>
    <t>Specie</t>
  </si>
  <si>
    <t>1ks</t>
  </si>
  <si>
    <t>2.5ks</t>
  </si>
  <si>
    <t>5ks</t>
  </si>
  <si>
    <t>10ks</t>
  </si>
  <si>
    <t>25ks</t>
  </si>
  <si>
    <t>Seed per Second</t>
  </si>
  <si>
    <t>Tomato</t>
  </si>
  <si>
    <t>BRBS</t>
  </si>
  <si>
    <t>Pepper</t>
  </si>
  <si>
    <t>Watermelon</t>
  </si>
  <si>
    <t>CABS</t>
  </si>
  <si>
    <t>Used 30 as the standard for 1 ks foils, not 38</t>
  </si>
  <si>
    <t>Melon</t>
  </si>
  <si>
    <t>CFCO</t>
  </si>
  <si>
    <t>Corn</t>
  </si>
  <si>
    <t>Squash</t>
  </si>
  <si>
    <t>?</t>
  </si>
  <si>
    <t>CUCO</t>
  </si>
  <si>
    <t>S-660 (per minute)</t>
  </si>
  <si>
    <t>MEBS</t>
  </si>
  <si>
    <t>1ks bags</t>
  </si>
  <si>
    <t>2.5ks bags</t>
  </si>
  <si>
    <t>5ks bags</t>
  </si>
  <si>
    <t>10ks bags</t>
  </si>
  <si>
    <t>25ks bags</t>
  </si>
  <si>
    <t>Cucumber</t>
  </si>
  <si>
    <t>SQBS</t>
  </si>
  <si>
    <t>Cabbage</t>
  </si>
  <si>
    <t>Brassica</t>
  </si>
  <si>
    <t>WABS</t>
  </si>
  <si>
    <t>WCBS</t>
  </si>
  <si>
    <t>Actual</t>
  </si>
  <si>
    <t>Converted</t>
  </si>
  <si>
    <t>Pack Line LTD</t>
  </si>
  <si>
    <t>15-31 units per min</t>
  </si>
  <si>
    <t>SQCO SSNN23-0442 RDY ZZZ BK KS</t>
  </si>
  <si>
    <t>Gravity for meal moth</t>
  </si>
  <si>
    <t>CAULIFLOWER</t>
  </si>
  <si>
    <t>CF263</t>
  </si>
  <si>
    <t>CF439</t>
  </si>
  <si>
    <t>BROCCOLI</t>
  </si>
  <si>
    <t>2B184</t>
  </si>
  <si>
    <t>NELSON-A</t>
  </si>
  <si>
    <t>NELSON-G</t>
  </si>
  <si>
    <t>NELSON-E</t>
  </si>
  <si>
    <t>CAGE #2</t>
  </si>
  <si>
    <t>CAGE #20</t>
  </si>
  <si>
    <t>CAGE #17</t>
  </si>
  <si>
    <t>CAGE #1</t>
  </si>
  <si>
    <t>CAGE #4</t>
  </si>
  <si>
    <t>CAGE #3</t>
  </si>
  <si>
    <t>CF721</t>
  </si>
  <si>
    <t>CF734</t>
  </si>
  <si>
    <t>NELSON-D</t>
  </si>
  <si>
    <t>NELSON-H</t>
  </si>
  <si>
    <t>CAGE #13</t>
  </si>
  <si>
    <t>CAGE #14</t>
  </si>
  <si>
    <t>CAGE #15</t>
  </si>
  <si>
    <t>CAGE #16</t>
  </si>
  <si>
    <t>CAGE #21</t>
  </si>
  <si>
    <t>CAGE #22</t>
  </si>
  <si>
    <t>CAGE #23</t>
  </si>
  <si>
    <t>CAGE #24</t>
  </si>
  <si>
    <t>SPECIES</t>
  </si>
  <si>
    <t>MATERIAL NUMBER</t>
  </si>
  <si>
    <t>GROSS WT (KG)</t>
  </si>
  <si>
    <t>Tare  (kg)</t>
  </si>
  <si>
    <t>Net Wt. (kg)</t>
  </si>
  <si>
    <t>Bin Count</t>
  </si>
  <si>
    <t>PQ #</t>
  </si>
  <si>
    <t>FIELD ID</t>
  </si>
  <si>
    <t>BAR CODE</t>
  </si>
  <si>
    <t>COMMENTS</t>
  </si>
  <si>
    <t>VARIETY CODE</t>
  </si>
  <si>
    <t>Material Desc</t>
  </si>
  <si>
    <t>Order</t>
  </si>
  <si>
    <t>Target QTY</t>
  </si>
  <si>
    <t>Finish Date</t>
  </si>
  <si>
    <t>Description</t>
  </si>
  <si>
    <t>Operation</t>
  </si>
  <si>
    <t>CFCO CAUC7101 RAW ZZZ BK KG</t>
  </si>
  <si>
    <t>CFBS CF439 RAW ZZZ BK KG</t>
  </si>
  <si>
    <t>BRBS 2B184 RAW ZZZ BK KG</t>
  </si>
  <si>
    <t>CFCO BCAU24-703294 RAW ZZZ BK KG</t>
  </si>
  <si>
    <t>CFCO BCAU22-28187 RAW ZZZ BK KG</t>
  </si>
  <si>
    <t>MANUALLY ADDED YUMA SHIPMENT</t>
  </si>
  <si>
    <t>LOT NO/PO</t>
  </si>
  <si>
    <t>MATERIAL DESC</t>
  </si>
  <si>
    <t>SWCO GSS2259P CRS RDX ZZZ BK KG</t>
  </si>
  <si>
    <t>SWBS R20015 S CRS RDX ZZZ BK KG</t>
  </si>
  <si>
    <t>SWCO SS7078Y CRS RDF ZZZ BK KG</t>
  </si>
  <si>
    <t>SWBS R29153 T CRS CLX ZZZ BK KG</t>
  </si>
  <si>
    <t>SWBS RAX-CLX INT L2B</t>
  </si>
  <si>
    <t>WACO RED RYDER SDL RDY ZZZ BK KS</t>
  </si>
  <si>
    <t>WACO VIRTUE SDL RDY ZZZ BK KS</t>
  </si>
  <si>
    <t>1st failed AP</t>
  </si>
  <si>
    <t>gravity for meal moth</t>
  </si>
  <si>
    <t>SWCO GSS39933 CRS RDF ZZZ BK KG</t>
  </si>
  <si>
    <t>SWCO BSS3556 CRS RDF ZZZ BK KG</t>
  </si>
  <si>
    <t>SWCO 1760MR CRS RDF ZZZ BK KG</t>
  </si>
  <si>
    <t>CACO RAW RDH INT</t>
  </si>
  <si>
    <t>WABS RAW RDY INT</t>
  </si>
  <si>
    <t>SWCO RAW RDY SUP INT L2B</t>
  </si>
  <si>
    <t>BRCO RAW RDY Ln3 INT</t>
  </si>
  <si>
    <t>HWT light for Xanthomonas positive</t>
  </si>
  <si>
    <t>SWCO GSS2259P CRS CLX ZZZ BK KG</t>
  </si>
  <si>
    <t>SEEDS NEEDS REWORKED FOR AP+ 2 X.  THIS</t>
  </si>
  <si>
    <t>NEEDS REWORKED FOR FAILED TARE X 2.  THI</t>
  </si>
  <si>
    <t>SWCO DESERT FROST CRS RDY ZZZ BK KG</t>
  </si>
  <si>
    <t>CFCO SPACEDREAM RDY ZZZ BK KS</t>
  </si>
  <si>
    <t>Please repair for 90% germ to 95% or bet</t>
  </si>
  <si>
    <t>SWCO GSS3378 CRS RDF ZZZ BK KG</t>
  </si>
  <si>
    <t>SWCO YETI CRS RDY ZZZ BK KG</t>
  </si>
  <si>
    <t>FAILED AP 1X.  PLEASE REWORK. NOTHING IN</t>
  </si>
  <si>
    <t>PECO SP704-3-8 SNP RDY ZZZ BK KG</t>
  </si>
  <si>
    <t>PECO PEA RAW RDY Ln2 INT</t>
  </si>
  <si>
    <t>PECO</t>
  </si>
  <si>
    <t>PS HAND PICK PROJECT FOR CHILE - ANZ 26-</t>
  </si>
  <si>
    <t>SWBS AC250Y U CRS RDX ZZZ BK KG</t>
  </si>
  <si>
    <t>Please repair germ to above 90%</t>
  </si>
  <si>
    <t>SWBS G3003 T CRN RDX ZZZ BK KG</t>
  </si>
  <si>
    <t>47 Offtypes</t>
  </si>
  <si>
    <t>CACO SILEX HOT RDH ZZZ BK KS</t>
  </si>
  <si>
    <t>WACO BLACK JACK SDL RDY ZZZ BK KS</t>
  </si>
  <si>
    <t>BRCO ATRACTIX RDY ZZZ BK KS</t>
  </si>
  <si>
    <t>SQCO SPINE BEAUTY RDY ZZZ BK KS</t>
  </si>
  <si>
    <t>REWORKING TO REMOVE SMALL SEED.  SCREEN</t>
  </si>
  <si>
    <t>BRCO SBB003 RDY ZZZ BK KS</t>
  </si>
  <si>
    <t>HWT heavy for Xanthomonas positive</t>
  </si>
  <si>
    <t>CFCO NABOO RDY ZZZ BK KS</t>
  </si>
  <si>
    <t>High priority. HWT heavy for Xanthomonas</t>
  </si>
  <si>
    <t>CFCO SGC3131 RDY ZZZ BK KS</t>
  </si>
  <si>
    <t>WACO MELODY SDL RDY ZZZ BK KS</t>
  </si>
  <si>
    <t>WACO SWEET GEM SDL RDY ZZZ BK KS</t>
  </si>
  <si>
    <t>WACO QUETZALI SDD RDY ZZZ BK KS</t>
  </si>
  <si>
    <t>WACO RDY Ln1 SDD INT</t>
  </si>
  <si>
    <t>MECO RAW RDY Ln1 INT</t>
  </si>
  <si>
    <t>WACO POWERHOUSE SDL RDY ZZZ BK KS</t>
  </si>
  <si>
    <t>WACO CATO SDL RDY ZZZ BK KS</t>
  </si>
  <si>
    <t>CACO MEXICA HOT RDH ZZZ BK KS</t>
  </si>
  <si>
    <t>MECO OVATION RDY ZZZ BK KS</t>
  </si>
  <si>
    <t>SQCO EQUINOX RDY ZZZ BK KS</t>
  </si>
  <si>
    <t>CACO SYCAMORE SWE RDH ZZZ BK KS</t>
  </si>
  <si>
    <t>WACO JAVELIN SDL RDY ZZZ BK KS</t>
  </si>
  <si>
    <t>WACO SP-7 SDD RDY ZZZ BK KS</t>
  </si>
  <si>
    <t>CABS P19M4 SWE RDY ZZZ BK KS</t>
  </si>
  <si>
    <t>CABS  RAW RDY INT</t>
  </si>
  <si>
    <t>CABS P19M5 SWE RDY ZZZ BK KS</t>
  </si>
  <si>
    <t>CACO EARLY EXCURSION SWE RDH ZZZ BK KS</t>
  </si>
  <si>
    <t>CACO SAGUARO SWE RDH ZZZ BK KS</t>
  </si>
  <si>
    <t>WABS 1W027 SDD RDY ZZZ BK KS</t>
  </si>
  <si>
    <t>SQCO PAYROLL RDY ZZZ BK KS</t>
  </si>
  <si>
    <t>WACO EXCURSION SDL RDY ZZZ BK KS</t>
  </si>
  <si>
    <t>Please repair germ from 84 to above 90%.</t>
  </si>
  <si>
    <t>WABS WA805 SDD RDY ZZZ BK KS</t>
  </si>
  <si>
    <t>WACO VALOR SDL RDY ZZZ BK KS</t>
  </si>
  <si>
    <t>Please repair germ from 84.5 to above 90</t>
  </si>
  <si>
    <t>WABS W4A43 SDD RDY ZZZ BK KS</t>
  </si>
  <si>
    <t>PECO IDALGO PEA RDY ZZZ BK KG</t>
  </si>
  <si>
    <t>SQBS SQ391 RDY ZZZ BK KS</t>
  </si>
  <si>
    <t>SQBS RAW RDY INT</t>
  </si>
  <si>
    <t>SQCO BACANORA RDY ZZZ BK KS</t>
  </si>
  <si>
    <t>Germ repair for 79% to 85% or above</t>
  </si>
  <si>
    <t>WACO CAPTIVATION SDL RDY ZZZ BK KS</t>
  </si>
  <si>
    <t>SWBS R565A T CRS RDX ZZZ BK KG</t>
  </si>
  <si>
    <t>SQBS SQ212 RDY ZZZ BK KS</t>
  </si>
  <si>
    <t>SQBS SQ233 RDY ZZZ BK KS</t>
  </si>
  <si>
    <t>SQBS SQ279 RDY ZZZ BK KS</t>
  </si>
  <si>
    <t>SQBS SQ470 RDY ZZZ BK KS</t>
  </si>
  <si>
    <t>SQBS SQ601 RDY ZZZ BK KS</t>
  </si>
  <si>
    <t>WACO FASCINATION SDL RDY ZZZ BK KS</t>
  </si>
  <si>
    <t>Please repair germ from 89 to above 90%.</t>
  </si>
  <si>
    <t>BECO HUNTINGTON RDY ZZZ BK KG</t>
  </si>
  <si>
    <t>BECO RAW RDY Ln2 INT</t>
  </si>
  <si>
    <t>Please repair germ from 87.75 to above 9</t>
  </si>
  <si>
    <t>Please repair germ from 85.25 to above 9</t>
  </si>
  <si>
    <t>Please repair from 89 to above 90%.</t>
  </si>
  <si>
    <t>Please repair germ from 80.75 to above 9</t>
  </si>
  <si>
    <t>Please repair from 87 to above 90%.</t>
  </si>
  <si>
    <t>Please repair germ from 86.25 to above 9</t>
  </si>
  <si>
    <t>WABS WS797 SDD RDY ZZZ BK KS</t>
  </si>
  <si>
    <t>BECO</t>
  </si>
  <si>
    <t>BECO PISMO RDY ZZZ BK KG</t>
  </si>
  <si>
    <t>SWCO EA SUNGLOW CRN RDY ZZZ BK KG</t>
  </si>
  <si>
    <t>SWCO RAW RDY STD INT Ln1</t>
  </si>
  <si>
    <t>MEBS ME297 RDY ZZZ BK KS</t>
  </si>
  <si>
    <t>MEBS RAW RDY INT</t>
  </si>
  <si>
    <t>SQBS SQ468 RDY ZZZ BK KS</t>
  </si>
  <si>
    <t>BECO THOMPSON RDY ZZZ BK KG</t>
  </si>
  <si>
    <t>SWCO QUICK TRIP CRT RDY ZZZ BK KG</t>
  </si>
  <si>
    <t>SWCO RAW RDY INT L2A</t>
  </si>
  <si>
    <t>Please repair germ from 84.75 to above 9</t>
  </si>
  <si>
    <t>MEBS ME650 RDY ZZZ BK KS</t>
  </si>
  <si>
    <t>BECO SB4876 RDY ZZZ BK KG</t>
  </si>
  <si>
    <t>TOCO QUALI T 99 DET RDH ZZZ BK KS</t>
  </si>
  <si>
    <t>TOCO RPR GERM INT</t>
  </si>
  <si>
    <t>MEBS 1M064 RDY ZZZ BK KS</t>
  </si>
  <si>
    <t>PECO RDY RDY PPur INT</t>
  </si>
  <si>
    <t>SQBS PP614 RDY ZZZ BK KS</t>
  </si>
  <si>
    <t>SQBS 1S181 RDY ZZZ BK KS</t>
  </si>
  <si>
    <t>SQBS 1S235 RDY ZZZ BK KS</t>
  </si>
  <si>
    <t>MEBS ME300 RDY ZZZ BK KS</t>
  </si>
  <si>
    <t>PECO KUDO PEA RDY ZZZ BK KG</t>
  </si>
  <si>
    <t>SWPB G4075 CRS RDX ZZZ BK KG</t>
  </si>
  <si>
    <t>HAND PICK ASKED FOR BY JON STOCKER.</t>
  </si>
  <si>
    <t>SWPB R10016 CRS RDX ZZZ BK KG</t>
  </si>
  <si>
    <t>SWPB R10233 CRS RDX ZZZ BK KG</t>
  </si>
  <si>
    <t>SWPB</t>
  </si>
  <si>
    <t>SWCO OVERLAND CRS CLX ZZZ BK KG</t>
  </si>
  <si>
    <t>SWCO OVERLAND CRS RDY ZZZ BK KG</t>
  </si>
  <si>
    <t>SQCO NOCHE RDY ZZZ BK KS</t>
  </si>
  <si>
    <t>PECO SL3123 SNP RDY ZZZ BK KG</t>
  </si>
  <si>
    <t>SWCO P&amp;C EARLY CRN RDY ZZZ BK KG</t>
  </si>
  <si>
    <t>SWBS EX RPR Ppur INT</t>
  </si>
  <si>
    <t>SWBS R660D T CRS RDX ZZZ BK KG</t>
  </si>
  <si>
    <t>SWCO GH6462S CRN RDY ZZZ BK KG</t>
  </si>
  <si>
    <t>BECO KAMARON RDY ZZZ BK KG</t>
  </si>
  <si>
    <t>BECO RAW RDY Ln2 INT EAME</t>
  </si>
  <si>
    <t>SWCO TYSON CRS RDX ZZZ BK KG</t>
  </si>
  <si>
    <t>REWORK TO REMOVE THE DEAD MEAL MOTH.</t>
  </si>
  <si>
    <t>SQCO GRANDPRIZE RDY ZZZ BK KS</t>
  </si>
  <si>
    <t>SWCO OVERLAND-R CRS RDX ZZZ BK KG</t>
  </si>
  <si>
    <t>RUSH.  RUN OVER THE GRAVITY TO REMOVE DE</t>
  </si>
  <si>
    <t>BECO OUTLAW RDY ZZZ BK KG</t>
  </si>
  <si>
    <t>BECO BASTION RDY ZZZ BK KG</t>
  </si>
  <si>
    <t>SWCO 3552R CRS RDF ZZZ BK KG</t>
  </si>
  <si>
    <t>SWCO GH4927-C CRN RDY ZZZ BK KG</t>
  </si>
  <si>
    <t>SWBS R10233 T CRS RDX ZZZ BK KG</t>
  </si>
  <si>
    <t>BECO ORGANDI RDY ZZZ BK KG</t>
  </si>
  <si>
    <t>BECO RAW RDY Ln2 INT KENYA</t>
  </si>
  <si>
    <t>BEBS HUNTINGTON S RDY ZZZ BK KG</t>
  </si>
  <si>
    <t>BEBS HUNTINGTON T RDY ZZZ BK KG</t>
  </si>
  <si>
    <t>BECO AUBERON RDY ZZZ BK KG</t>
  </si>
  <si>
    <t>BEBS GREENBACK T RDY ZZZ BK KG</t>
  </si>
  <si>
    <t>BECO OKAPI RDY ZZZ BK KG</t>
  </si>
  <si>
    <t>BEBS SB4840 S RDY ZZZ BK KG</t>
  </si>
  <si>
    <t>BEBS SB4840 T RDY ZZZ BK KG</t>
  </si>
  <si>
    <t>WCCO XIANGAN011 RDY ZZZ BK KS</t>
  </si>
  <si>
    <t>RUSH - Priority 1. For Export to NL</t>
  </si>
  <si>
    <t>WCCO KEPLER RDY ZZZ BK KS</t>
  </si>
  <si>
    <t>Priority 2. For Export to NL</t>
  </si>
  <si>
    <t>BRCO MACDUI RDY ZZZ BK KS</t>
  </si>
  <si>
    <t>Priority 1 - HWT light for Xcc</t>
  </si>
  <si>
    <t>BRCO SUNMAN RDY ZZZ BK KS</t>
  </si>
  <si>
    <t>Priority 1 - HWT heavy for Xcc</t>
  </si>
  <si>
    <t>SWTO TOLLING SWEETCORN BY RDY ZZZ BK KG</t>
  </si>
  <si>
    <t>SWTO RAW RDY Ln2 INT</t>
  </si>
  <si>
    <t>SWTO</t>
  </si>
  <si>
    <t>SWBS R00565H S CRS CLD ZZZ BK KG</t>
  </si>
  <si>
    <t>SWBS  RAW-CLD INT Ln1</t>
  </si>
  <si>
    <t>BSCO ABACUS RDY ZZZ BK KS</t>
  </si>
  <si>
    <t>Priority 2. HWT light for Xanthomonas po</t>
  </si>
  <si>
    <t>WCCO FABIOLA RDY ZZZ BK KS</t>
  </si>
  <si>
    <t>SQBS 1S134 RDY ZZZ BK KS</t>
  </si>
  <si>
    <t>MEBS 1M698 RDY ZZZ BK KS</t>
  </si>
  <si>
    <t>Gravity 10% high cut</t>
  </si>
  <si>
    <t>MEBS 1M747 RDY ZZZ BK KS</t>
  </si>
  <si>
    <t>SWCO PATRON CRS RDY ZZZ BK KG</t>
  </si>
  <si>
    <t>SQBS SQ568 RDY ZZZ BK KS</t>
  </si>
  <si>
    <t>MEBS ME701 RDY ZZZ BK KS</t>
  </si>
  <si>
    <t>SQBS SQ598 RDY ZZZ BK KS</t>
  </si>
  <si>
    <t>SQBS SQ599 RDY ZZZ BK KS</t>
  </si>
  <si>
    <t>BSCO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</si>
</sst>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_(* #,##0.000_);_(* \(#,##0.000\);_(* &quot;-&quot;??_);_(@_)"/>
    <numFmt numFmtId="165" formatCode="[$-409]d\-mmm;@"/>
    <numFmt numFmtId="166" formatCode="mm/dd/yy;@"/>
    <numFmt numFmtId="167" formatCode="#,##0.000"/>
  </numFmts>
  <fonts count="35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  <font>
      <sz val="11"/>
      <color rgb="FF9C0006"/>
      <name val="Corbel"/>
      <family val="2"/>
      <scheme val="minor"/>
    </font>
    <font>
      <b/>
      <sz val="11"/>
      <color rgb="FFFA7D00"/>
      <name val="Corbel"/>
      <family val="2"/>
      <scheme val="minor"/>
    </font>
    <font>
      <b/>
      <sz val="11"/>
      <color theme="0"/>
      <name val="Corbel"/>
      <family val="2"/>
      <scheme val="minor"/>
    </font>
    <font>
      <i/>
      <sz val="11"/>
      <color rgb="FF7F7F7F"/>
      <name val="Corbel"/>
      <family val="2"/>
      <scheme val="minor"/>
    </font>
    <font>
      <sz val="11"/>
      <color rgb="FF006100"/>
      <name val="Corbel"/>
      <family val="2"/>
      <scheme val="minor"/>
    </font>
    <font>
      <b/>
      <sz val="15"/>
      <color theme="3"/>
      <name val="Corbel"/>
      <family val="2"/>
      <scheme val="minor"/>
    </font>
    <font>
      <b/>
      <sz val="13"/>
      <color theme="3"/>
      <name val="Corbel"/>
      <family val="2"/>
      <scheme val="minor"/>
    </font>
    <font>
      <b/>
      <sz val="11"/>
      <color theme="3"/>
      <name val="Corbel"/>
      <family val="2"/>
      <scheme val="minor"/>
    </font>
    <font>
      <sz val="11"/>
      <color rgb="FF3F3F76"/>
      <name val="Corbel"/>
      <family val="2"/>
      <scheme val="minor"/>
    </font>
    <font>
      <sz val="11"/>
      <color rgb="FFFA7D00"/>
      <name val="Corbel"/>
      <family val="2"/>
      <scheme val="minor"/>
    </font>
    <font>
      <sz val="11"/>
      <color rgb="FF9C6500"/>
      <name val="Corbel"/>
      <family val="2"/>
      <scheme val="minor"/>
    </font>
    <font>
      <b/>
      <sz val="11"/>
      <color rgb="FF3F3F3F"/>
      <name val="Corbel"/>
      <family val="2"/>
      <scheme val="minor"/>
    </font>
    <font>
      <b/>
      <sz val="18"/>
      <color theme="3"/>
      <name val="Consolas"/>
      <family val="2"/>
      <scheme val="major"/>
    </font>
    <font>
      <b/>
      <sz val="11"/>
      <color theme="1"/>
      <name val="Corbel"/>
      <family val="2"/>
      <scheme val="minor"/>
    </font>
    <font>
      <sz val="11"/>
      <color rgb="FFFF0000"/>
      <name val="Corbel"/>
      <family val="2"/>
      <scheme val="minor"/>
    </font>
    <font>
      <sz val="10"/>
      <name val="Perpetua Titling MT"/>
      <family val="1"/>
    </font>
    <font>
      <sz val="10"/>
      <color theme="1"/>
      <name val="Perpetua Titling MT"/>
      <family val="1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ourier New"/>
      <family val="2"/>
    </font>
    <font>
      <sz val="11"/>
      <name val="Corbel"/>
      <family val="2"/>
      <scheme val="minor"/>
    </font>
    <font>
      <sz val="8"/>
      <name val="Corbel"/>
      <family val="2"/>
      <scheme val="minor"/>
    </font>
    <font>
      <b/>
      <sz val="24"/>
      <color theme="1"/>
      <name val="Corbel"/>
      <family val="2"/>
      <scheme val="minor"/>
    </font>
    <font>
      <b/>
      <u/>
      <sz val="11"/>
      <color theme="1"/>
      <name val="Corbel"/>
      <family val="2"/>
      <scheme val="minor"/>
    </font>
    <font>
      <sz val="11"/>
      <color rgb="FF000000"/>
      <name val="Corbel"/>
      <family val="2"/>
      <scheme val="minor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theme="0" tint="-0.249977111117893"/>
      <name val="Arial"/>
      <family val="2"/>
    </font>
    <font>
      <sz val="11"/>
      <color theme="1"/>
      <name val="Corbel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/>
    <xf numFmtId="0" fontId="21" fillId="0" borderId="0"/>
    <xf numFmtId="0" fontId="21" fillId="0" borderId="0"/>
  </cellStyleXfs>
  <cellXfs count="113">
    <xf numFmtId="0" fontId="0" fillId="0" borderId="0" xfId="0"/>
    <xf numFmtId="0" fontId="18" fillId="0" borderId="0" xfId="28" applyNumberFormat="1" applyFont="1" applyFill="1" applyBorder="1" applyAlignment="1">
      <alignment horizontal="center" vertical="top" wrapText="1"/>
    </xf>
    <xf numFmtId="0" fontId="23" fillId="0" borderId="0" xfId="0" applyFont="1"/>
    <xf numFmtId="164" fontId="18" fillId="0" borderId="0" xfId="28" applyNumberFormat="1" applyFont="1" applyFill="1" applyBorder="1" applyAlignment="1">
      <alignment vertical="top" wrapText="1"/>
    </xf>
    <xf numFmtId="164" fontId="19" fillId="0" borderId="0" xfId="28" applyNumberFormat="1" applyFont="1" applyFill="1" applyAlignment="1">
      <alignment horizontal="left" vertical="top" wrapText="1"/>
    </xf>
    <xf numFmtId="164" fontId="18" fillId="0" borderId="0" xfId="28" applyNumberFormat="1" applyFont="1" applyFill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166" fontId="18" fillId="0" borderId="0" xfId="0" applyNumberFormat="1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166" fontId="18" fillId="0" borderId="0" xfId="0" applyNumberFormat="1" applyFont="1" applyAlignment="1">
      <alignment horizontal="left" vertical="top"/>
    </xf>
    <xf numFmtId="1" fontId="18" fillId="0" borderId="0" xfId="28" applyNumberFormat="1" applyFont="1" applyFill="1" applyAlignment="1">
      <alignment horizontal="center" vertical="top" wrapText="1"/>
    </xf>
    <xf numFmtId="1" fontId="18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19" xfId="0" applyFont="1" applyBorder="1"/>
    <xf numFmtId="0" fontId="16" fillId="0" borderId="18" xfId="0" applyFont="1" applyBorder="1"/>
    <xf numFmtId="0" fontId="16" fillId="0" borderId="20" xfId="0" applyFont="1" applyBorder="1"/>
    <xf numFmtId="0" fontId="0" fillId="0" borderId="25" xfId="0" applyBorder="1"/>
    <xf numFmtId="0" fontId="16" fillId="0" borderId="2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/>
    <xf numFmtId="0" fontId="0" fillId="0" borderId="27" xfId="0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0" fillId="0" borderId="10" xfId="0" applyBorder="1"/>
    <xf numFmtId="0" fontId="0" fillId="0" borderId="15" xfId="0" applyBorder="1"/>
    <xf numFmtId="0" fontId="0" fillId="0" borderId="30" xfId="0" applyBorder="1"/>
    <xf numFmtId="0" fontId="0" fillId="0" borderId="27" xfId="0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23" xfId="0" applyBorder="1" applyAlignment="1">
      <alignment horizontal="center"/>
    </xf>
    <xf numFmtId="0" fontId="0" fillId="0" borderId="31" xfId="0" applyBorder="1"/>
    <xf numFmtId="0" fontId="16" fillId="35" borderId="16" xfId="0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0" fontId="26" fillId="34" borderId="21" xfId="0" applyFont="1" applyFill="1" applyBorder="1"/>
    <xf numFmtId="0" fontId="0" fillId="34" borderId="22" xfId="0" applyFill="1" applyBorder="1"/>
    <xf numFmtId="0" fontId="16" fillId="35" borderId="12" xfId="0" applyFont="1" applyFill="1" applyBorder="1" applyAlignment="1">
      <alignment horizontal="center"/>
    </xf>
    <xf numFmtId="0" fontId="0" fillId="0" borderId="17" xfId="0" applyBorder="1"/>
    <xf numFmtId="0" fontId="0" fillId="0" borderId="32" xfId="0" applyBorder="1"/>
    <xf numFmtId="0" fontId="0" fillId="0" borderId="21" xfId="0" applyBorder="1"/>
    <xf numFmtId="0" fontId="0" fillId="0" borderId="16" xfId="0" quotePrefix="1" applyBorder="1"/>
    <xf numFmtId="0" fontId="0" fillId="0" borderId="16" xfId="0" applyBorder="1"/>
    <xf numFmtId="0" fontId="0" fillId="0" borderId="22" xfId="0" applyBorder="1"/>
    <xf numFmtId="0" fontId="18" fillId="0" borderId="23" xfId="0" applyFont="1" applyBorder="1" applyAlignment="1">
      <alignment horizontal="center" vertical="center" wrapText="1"/>
    </xf>
    <xf numFmtId="164" fontId="18" fillId="0" borderId="23" xfId="28" applyNumberFormat="1" applyFont="1" applyFill="1" applyBorder="1" applyAlignment="1">
      <alignment horizontal="center" vertical="center" wrapText="1"/>
    </xf>
    <xf numFmtId="166" fontId="18" fillId="0" borderId="23" xfId="0" applyNumberFormat="1" applyFont="1" applyBorder="1" applyAlignment="1">
      <alignment horizontal="center" vertical="center" wrapText="1"/>
    </xf>
    <xf numFmtId="166" fontId="18" fillId="0" borderId="23" xfId="28" applyNumberFormat="1" applyFont="1" applyFill="1" applyBorder="1" applyAlignment="1">
      <alignment horizontal="center" vertical="center" wrapText="1"/>
    </xf>
    <xf numFmtId="166" fontId="18" fillId="0" borderId="23" xfId="0" applyNumberFormat="1" applyFont="1" applyBorder="1" applyAlignment="1">
      <alignment horizontal="center" vertical="center"/>
    </xf>
    <xf numFmtId="1" fontId="18" fillId="0" borderId="23" xfId="0" applyNumberFormat="1" applyFont="1" applyBorder="1" applyAlignment="1">
      <alignment horizontal="center" vertical="center" wrapText="1"/>
    </xf>
    <xf numFmtId="165" fontId="18" fillId="0" borderId="23" xfId="0" applyNumberFormat="1" applyFont="1" applyBorder="1" applyAlignment="1">
      <alignment horizontal="center" vertical="center" wrapText="1"/>
    </xf>
    <xf numFmtId="165" fontId="18" fillId="0" borderId="27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27" fillId="0" borderId="0" xfId="0" applyFont="1"/>
    <xf numFmtId="0" fontId="27" fillId="0" borderId="0" xfId="0" applyFont="1" applyAlignment="1">
      <alignment wrapText="1"/>
    </xf>
    <xf numFmtId="0" fontId="16" fillId="36" borderId="12" xfId="0" applyFont="1" applyFill="1" applyBorder="1"/>
    <xf numFmtId="0" fontId="16" fillId="36" borderId="19" xfId="0" applyFont="1" applyFill="1" applyBorder="1"/>
    <xf numFmtId="14" fontId="23" fillId="0" borderId="0" xfId="0" applyNumberFormat="1" applyFont="1"/>
    <xf numFmtId="2" fontId="23" fillId="0" borderId="0" xfId="0" applyNumberFormat="1" applyFont="1"/>
    <xf numFmtId="2" fontId="0" fillId="0" borderId="0" xfId="0" applyNumberFormat="1"/>
    <xf numFmtId="0" fontId="18" fillId="0" borderId="0" xfId="28" applyNumberFormat="1" applyFont="1" applyFill="1" applyAlignment="1">
      <alignment horizontal="center" vertical="top" wrapText="1"/>
    </xf>
    <xf numFmtId="1" fontId="18" fillId="0" borderId="23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left" vertical="top"/>
    </xf>
    <xf numFmtId="1" fontId="19" fillId="0" borderId="0" xfId="28" applyNumberFormat="1" applyFont="1" applyFill="1" applyAlignment="1">
      <alignment vertical="top"/>
    </xf>
    <xf numFmtId="14" fontId="18" fillId="0" borderId="0" xfId="28" applyNumberFormat="1" applyFont="1" applyFill="1" applyAlignment="1">
      <alignment horizontal="right" vertical="top"/>
    </xf>
    <xf numFmtId="166" fontId="18" fillId="0" borderId="0" xfId="28" applyNumberFormat="1" applyFont="1" applyFill="1" applyAlignment="1">
      <alignment vertical="top"/>
    </xf>
    <xf numFmtId="1" fontId="18" fillId="0" borderId="0" xfId="28" applyNumberFormat="1" applyFont="1" applyFill="1" applyAlignment="1">
      <alignment vertical="top"/>
    </xf>
    <xf numFmtId="0" fontId="28" fillId="37" borderId="36" xfId="45" applyFont="1" applyFill="1" applyBorder="1" applyAlignment="1">
      <alignment horizontal="center" vertical="center" wrapText="1"/>
    </xf>
    <xf numFmtId="0" fontId="28" fillId="37" borderId="37" xfId="45" applyFont="1" applyFill="1" applyBorder="1" applyAlignment="1">
      <alignment horizontal="center" vertical="center" wrapText="1"/>
    </xf>
    <xf numFmtId="0" fontId="28" fillId="37" borderId="38" xfId="45" applyFont="1" applyFill="1" applyBorder="1" applyAlignment="1">
      <alignment horizontal="center" vertical="center" wrapText="1"/>
    </xf>
    <xf numFmtId="0" fontId="31" fillId="0" borderId="0" xfId="0" applyFont="1"/>
    <xf numFmtId="0" fontId="31" fillId="0" borderId="12" xfId="0" applyFont="1" applyBorder="1"/>
    <xf numFmtId="14" fontId="31" fillId="0" borderId="12" xfId="0" applyNumberFormat="1" applyFont="1" applyBorder="1"/>
    <xf numFmtId="0" fontId="31" fillId="34" borderId="12" xfId="0" applyFont="1" applyFill="1" applyBorder="1"/>
    <xf numFmtId="0" fontId="30" fillId="38" borderId="12" xfId="0" applyFont="1" applyFill="1" applyBorder="1" applyAlignment="1" applyProtection="1">
      <alignment horizontal="center" vertical="center"/>
      <protection locked="0"/>
    </xf>
    <xf numFmtId="0" fontId="30" fillId="39" borderId="12" xfId="0" applyFont="1" applyFill="1" applyBorder="1" applyAlignment="1" applyProtection="1">
      <alignment horizontal="center" vertical="center"/>
      <protection locked="0"/>
    </xf>
    <xf numFmtId="0" fontId="21" fillId="40" borderId="12" xfId="0" applyFont="1" applyFill="1" applyBorder="1" applyAlignment="1">
      <alignment horizontal="center" vertical="center"/>
    </xf>
    <xf numFmtId="0" fontId="32" fillId="41" borderId="12" xfId="0" applyFont="1" applyFill="1" applyBorder="1" applyAlignment="1">
      <alignment horizontal="center" vertical="center"/>
    </xf>
    <xf numFmtId="0" fontId="30" fillId="0" borderId="12" xfId="0" applyFont="1" applyBorder="1" applyAlignment="1" applyProtection="1">
      <alignment horizontal="center" vertical="center"/>
      <protection locked="0"/>
    </xf>
    <xf numFmtId="0" fontId="21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2" fontId="30" fillId="0" borderId="12" xfId="0" applyNumberFormat="1" applyFont="1" applyBorder="1" applyAlignment="1" applyProtection="1">
      <alignment horizontal="center" vertical="center"/>
      <protection locked="0"/>
    </xf>
    <xf numFmtId="0" fontId="30" fillId="0" borderId="12" xfId="0" applyFont="1" applyBorder="1" applyAlignment="1">
      <alignment horizontal="center" vertical="center"/>
    </xf>
    <xf numFmtId="0" fontId="30" fillId="42" borderId="12" xfId="0" applyFont="1" applyFill="1" applyBorder="1" applyAlignment="1" applyProtection="1">
      <alignment horizontal="center" vertical="center"/>
      <protection locked="0"/>
    </xf>
    <xf numFmtId="0" fontId="29" fillId="37" borderId="0" xfId="45" applyFont="1" applyFill="1" applyAlignment="1">
      <alignment horizontal="center" vertical="center"/>
    </xf>
    <xf numFmtId="0" fontId="30" fillId="0" borderId="0" xfId="0" applyFont="1" applyAlignment="1" applyProtection="1">
      <alignment horizontal="center" vertical="center"/>
      <protection locked="0"/>
    </xf>
    <xf numFmtId="0" fontId="33" fillId="0" borderId="0" xfId="0" applyFont="1"/>
    <xf numFmtId="0" fontId="30" fillId="0" borderId="12" xfId="0" applyFont="1" applyBorder="1" applyAlignment="1" applyProtection="1">
      <alignment horizontal="left" vertical="center"/>
      <protection locked="0"/>
    </xf>
    <xf numFmtId="1" fontId="19" fillId="0" borderId="0" xfId="28" applyNumberFormat="1" applyFont="1" applyFill="1" applyBorder="1" applyAlignment="1">
      <alignment vertical="top"/>
    </xf>
    <xf numFmtId="167" fontId="19" fillId="0" borderId="0" xfId="28" applyNumberFormat="1" applyFont="1" applyFill="1" applyBorder="1" applyAlignment="1">
      <alignment horizontal="right" vertical="top"/>
    </xf>
    <xf numFmtId="0" fontId="34" fillId="33" borderId="35" xfId="0" applyFont="1" applyFill="1" applyBorder="1" applyAlignment="1">
      <alignment vertical="top"/>
    </xf>
    <xf numFmtId="49" fontId="19" fillId="0" borderId="0" xfId="0" applyNumberFormat="1" applyFont="1" applyAlignment="1">
      <alignment vertical="top"/>
    </xf>
    <xf numFmtId="0" fontId="16" fillId="0" borderId="3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34" borderId="0" xfId="0" applyFill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29" fillId="37" borderId="12" xfId="45" applyFont="1" applyFill="1" applyBorder="1" applyAlignment="1">
      <alignment horizontal="center" vertical="center"/>
    </xf>
    <xf numFmtId="0" fontId="29" fillId="37" borderId="12" xfId="45" applyFont="1" applyFill="1" applyBorder="1" applyAlignment="1">
      <alignment horizontal="center" vertical="center" wrapText="1"/>
    </xf>
    <xf numFmtId="0" fontId="29" fillId="37" borderId="12" xfId="45" applyFont="1" applyFill="1" applyBorder="1" applyAlignment="1" applyProtection="1">
      <alignment horizontal="center" vertical="center" wrapText="1"/>
      <protection hidden="1"/>
    </xf>
    <xf numFmtId="0" fontId="28" fillId="37" borderId="12" xfId="45" applyFont="1" applyFill="1" applyBorder="1" applyAlignment="1">
      <alignment horizontal="center" vertical="center" wrapText="1"/>
    </xf>
    <xf numFmtId="0" fontId="28" fillId="37" borderId="12" xfId="44" applyFont="1" applyFill="1" applyBorder="1" applyAlignment="1">
      <alignment horizontal="center" vertical="center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3" xr:uid="{00000000-0005-0000-0000-000026000000}"/>
    <cellStyle name="Normal 3" xfId="44" xr:uid="{00000000-0005-0000-0000-000027000000}"/>
    <cellStyle name="Normal_Packing 16 MAYO" xfId="45" xr:uid="{1438104E-C52B-404A-A019-BCDA0C73F52F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1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b val="0"/>
        <i/>
        <color theme="7" tint="0.79998168889431442"/>
      </font>
      <fill>
        <patternFill>
          <bgColor theme="7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1C1C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color rgb="FF000000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64" formatCode="_(* #,##0.000_);_(* \(#,##0.000\);_(* &quot;-&quot;??_);_(@_)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64" formatCode="_(* #,##0.000_);_(* \(#,##0.000\);_(* &quot;-&quot;??_);_(@_)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64" formatCode="_(* #,##0.000_);_(* \(#,##0.000\);_(* &quot;-&quot;??_);_(@_)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66" formatCode="mm/dd/yy;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167" formatCode="#,##0.00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 Titling MT"/>
        <family val="1"/>
        <scheme val="none"/>
      </font>
      <numFmt numFmtId="164" formatCode="_(* #,##0.000_);_(* \(#,##0.000\);_(* &quot;-&quot;??_);_(@_)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65" formatCode="[$-409]d\-mmm;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erpetua Titling MT"/>
        <family val="1"/>
        <scheme val="none"/>
      </font>
      <numFmt numFmtId="165" formatCode="[$-409]d\-mmm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2" formatCode="0.00"/>
    </dxf>
    <dxf>
      <numFmt numFmtId="168" formatCode="m/d/yyyy"/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ill>
        <patternFill patternType="solid">
          <fgColor rgb="FFFF99CC"/>
          <bgColor rgb="FFFF99CC"/>
        </patternFill>
      </fill>
    </dxf>
    <dxf>
      <fill>
        <patternFill patternType="solid">
          <fgColor rgb="FFFF99CC"/>
          <bgColor rgb="FFFF99CC"/>
        </patternFill>
      </fill>
    </dxf>
    <dxf>
      <font>
        <b/>
        <color theme="0"/>
      </font>
      <fill>
        <patternFill patternType="solid">
          <fgColor rgb="FFCC0099"/>
          <bgColor rgb="FFCC0099"/>
        </patternFill>
      </fill>
    </dxf>
    <dxf>
      <font>
        <b/>
        <color theme="0"/>
      </font>
      <fill>
        <patternFill patternType="solid">
          <fgColor rgb="FFCC0099"/>
          <bgColor rgb="FFCC0099"/>
        </patternFill>
      </fill>
    </dxf>
    <dxf>
      <font>
        <b/>
        <color theme="0"/>
      </font>
      <fill>
        <patternFill patternType="solid">
          <fgColor rgb="FFCC0099"/>
          <bgColor rgb="FFCC0099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rgb="FFCC0099"/>
          <bgColor rgb="FFCC009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rgb="FFFFCCFF"/>
          <bgColor rgb="FFFFCCFF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Light16">
    <tableStyle name="TableStyleMedium13 2" pivot="0" count="7" xr9:uid="{00000000-0011-0000-FFFF-FFFF00000000}">
      <tableStyleElement type="wholeTable" dxfId="176"/>
      <tableStyleElement type="headerRow" dxfId="175"/>
      <tableStyleElement type="totalRow" dxfId="174"/>
      <tableStyleElement type="firstColumn" dxfId="173"/>
      <tableStyleElement type="lastColumn" dxfId="172"/>
      <tableStyleElement type="firstRowStripe" dxfId="171"/>
      <tableStyleElement type="firstColumnStripe" dxfId="170"/>
    </tableStyle>
  </tableStyles>
  <colors>
    <mruColors>
      <color rgb="FFCCCCFF"/>
      <color rgb="FFFFFF00"/>
      <color rgb="FFFFFF99"/>
      <color rgb="FF11B0E9"/>
      <color rgb="FFCC99FF"/>
      <color rgb="FFE1C1C1"/>
      <color rgb="FFFFFFCC"/>
      <color rgb="FFFFFF66"/>
      <color rgb="FFFF9999"/>
      <color rgb="FFFD84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EE024560-D89C-4B68-BC8C-18D6408D0F90}" autoFormatId="16" applyNumberFormats="0" applyBorderFormats="0" applyFontFormats="0" applyPatternFormats="0" applyAlignmentFormats="0" applyWidthHeightFormats="0">
  <queryTableRefresh nextId="14">
    <queryTableFields count="13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  <queryTableField id="12" name="Hours" tableColumnId="12"/>
      <queryTableField id="13" name="Capacity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1" xr16:uid="{54CF19B7-6317-4C2E-9F2C-8BB38A0F3821}" autoFormatId="16" applyNumberFormats="0" applyBorderFormats="0" applyFontFormats="0" applyPatternFormats="0" applyAlignmentFormats="0" applyWidthHeightFormats="0">
  <queryTableRefresh nextId="14">
    <queryTableFields count="13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  <queryTableField id="12" name="Hours" tableColumnId="12"/>
      <queryTableField id="13" name="Capacity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10F7713A-F5AE-4AFC-8679-ABA1D2D3872C}" autoFormatId="16" applyNumberFormats="0" applyBorderFormats="0" applyFontFormats="0" applyPatternFormats="0" applyAlignmentFormats="0" applyWidthHeightFormats="0">
  <queryTableRefresh nextId="16">
    <queryTableFields count="14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13" name="Priority" tableColumnId="13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  <queryTableField id="12" name="Hours" tableColumnId="12"/>
      <queryTableField id="14" name="Capacity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03215290-F05D-4A3C-B345-D05029CB57CA}" autoFormatId="16" applyNumberFormats="0" applyBorderFormats="0" applyFontFormats="0" applyPatternFormats="0" applyAlignmentFormats="0" applyWidthHeightFormats="0">
  <queryTableRefresh nextId="16">
    <queryTableFields count="14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13" name="Priority" tableColumnId="13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  <queryTableField id="12" name="Hours" tableColumnId="12"/>
      <queryTableField id="14" name="Capacity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" xr16:uid="{D7ED67D5-0371-4B32-8085-81C6E986270F}" autoFormatId="16" applyNumberFormats="0" applyBorderFormats="0" applyFontFormats="0" applyPatternFormats="0" applyAlignmentFormats="0" applyWidthHeightFormats="0">
  <queryTableRefresh nextId="16">
    <queryTableFields count="14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13" name="Priority" tableColumnId="13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  <queryTableField id="12" name="Hours" tableColumnId="12"/>
      <queryTableField id="14" name="Capacity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9" xr16:uid="{53048835-7CD6-4C2D-9A45-5316228F5D3D}" autoFormatId="16" applyNumberFormats="0" applyBorderFormats="0" applyFontFormats="0" applyPatternFormats="0" applyAlignmentFormats="0" applyWidthHeightFormats="0">
  <queryTableRefresh nextId="16">
    <queryTableFields count="14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13" name="Priority" tableColumnId="13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  <queryTableField id="12" name="Hours" tableColumnId="12"/>
      <queryTableField id="14" name="Capacity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0" xr16:uid="{7CAECF2B-C1D0-42C6-A71E-AE026103AA7A}" autoFormatId="16" applyNumberFormats="0" applyBorderFormats="0" applyFontFormats="0" applyPatternFormats="0" applyAlignmentFormats="0" applyWidthHeightFormats="0">
  <queryTableRefresh nextId="16">
    <queryTableFields count="14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13" name="Priority" tableColumnId="13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  <queryTableField id="12" name="Hours" tableColumnId="12"/>
      <queryTableField id="14" name="Capacity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1CB9970A-C480-4011-90BE-DC98153985AD}" autoFormatId="16" applyNumberFormats="0" applyBorderFormats="0" applyFontFormats="0" applyPatternFormats="0" applyAlignmentFormats="0" applyWidthHeightFormats="0">
  <queryTableRefresh nextId="16">
    <queryTableFields count="12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13" name="Priority" tableColumnId="12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1845C2CA-C799-4A76-A7DD-0D3F0D27A385}" autoFormatId="16" applyNumberFormats="0" applyBorderFormats="0" applyFontFormats="0" applyPatternFormats="0" applyAlignmentFormats="0" applyWidthHeightFormats="0">
  <queryTableRefresh nextId="15">
    <queryTableFields count="12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13" name="Priority" tableColumnId="12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6AF52210-E993-41C5-AF9D-532F64B5028F}" autoFormatId="16" applyNumberFormats="0" applyBorderFormats="0" applyFontFormats="0" applyPatternFormats="0" applyAlignmentFormats="0" applyWidthHeightFormats="0">
  <queryTableRefresh nextId="16">
    <queryTableFields count="14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13" name="Priority" tableColumnId="13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  <queryTableField id="12" name="Hours" tableColumnId="12"/>
      <queryTableField id="14" name="Capacity" tableColumnId="1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546CFE3-F415-4118-8C9C-1245AE8F3CE5}" autoFormatId="16" applyNumberFormats="0" applyBorderFormats="0" applyFontFormats="0" applyPatternFormats="0" applyAlignmentFormats="0" applyWidthHeightFormats="0">
  <queryTableRefresh nextId="16">
    <queryTableFields count="14">
      <queryTableField id="1" name="Crop" tableColumnId="1"/>
      <queryTableField id="2" name="Material _x000a_Description" tableColumnId="2"/>
      <queryTableField id="3" name="Prod. Order" tableColumnId="3"/>
      <queryTableField id="4" name="Output_x000a_Qty" tableColumnId="4"/>
      <queryTableField id="5" name="UOM" tableColumnId="5"/>
      <queryTableField id="6" name="Scheduled Finish Date (SAP)" tableColumnId="6"/>
      <queryTableField id="7" name="Notes:" tableColumnId="7"/>
      <queryTableField id="13" name="Priority" tableColumnId="13"/>
      <queryTableField id="8" name="PO Status" tableColumnId="8"/>
      <queryTableField id="9" name="WorkCenter" tableColumnId="9"/>
      <queryTableField id="10" name="Pack Line" tableColumnId="10"/>
      <queryTableField id="11" name="Department" tableColumnId="11"/>
      <queryTableField id="12" name="Hours" tableColumnId="12"/>
      <queryTableField id="14" name="Capacity" tableColumnId="1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B9A6C-B8FA-462A-B8EC-7E000B5F6EF1}" name="TableToday" displayName="TableToday" ref="A1:N203" totalsRowShown="0" headerRowDxfId="166" dataDxfId="164" headerRowBorderDxfId="165" tableBorderDxfId="163" totalsRowBorderDxfId="162">
  <autoFilter ref="A1:N203" xr:uid="{E32185E8-1AC0-4C6C-A6BB-F438D38A98AD}"/>
  <sortState xmlns:xlrd2="http://schemas.microsoft.com/office/spreadsheetml/2017/richdata2" ref="A2:N2">
    <sortCondition ref="F1:F2"/>
  </sortState>
  <tableColumns count="14">
    <tableColumn id="3" xr3:uid="{00000000-0010-0000-0000-000003000000}" name="Crop" dataDxfId="161" dataCellStyle="Comma">
      <calculatedColumnFormula>TRIM(LEFT(B2,4))</calculatedColumnFormula>
    </tableColumn>
    <tableColumn id="4" xr3:uid="{00000000-0010-0000-0000-000004000000}" name="Material _x000a_Description" dataDxfId="160"/>
    <tableColumn id="5" xr3:uid="{00000000-0010-0000-0000-000005000000}" name="Prod. Order" dataDxfId="159" dataCellStyle="Comma"/>
    <tableColumn id="8" xr3:uid="{00000000-0010-0000-0000-000008000000}" name="Output_x000a_Qty" dataDxfId="158" dataCellStyle="Comma"/>
    <tableColumn id="9" xr3:uid="{00000000-0010-0000-0000-000009000000}" name="UOM" dataDxfId="157"/>
    <tableColumn id="12" xr3:uid="{00000000-0010-0000-0000-00000C000000}" name="Scheduled Finish Date (SAP)" dataDxfId="156" dataCellStyle="Comma"/>
    <tableColumn id="23" xr3:uid="{00000000-0010-0000-0000-000017000000}" name="Notes:" dataDxfId="155" dataCellStyle="Comma"/>
    <tableColumn id="11" xr3:uid="{F966689C-11A7-4A74-A9D8-36F0484F5D55}" name="Priority" dataDxfId="154" dataCellStyle="Comma"/>
    <tableColumn id="34" xr3:uid="{9E4559E7-FC97-4DCF-B94B-3C305232B371}" name="PO Status" dataDxfId="153" dataCellStyle="Comma">
      <calculatedColumnFormula>"NEW"</calculatedColumnFormula>
    </tableColumn>
    <tableColumn id="2" xr3:uid="{BF42444B-666D-4A13-88C1-E8A8EF7ECB34}" name="WorkCenter" dataDxfId="152" dataCellStyle="Comma">
      <calculatedColumnFormula>IFERROR(VLOOKUP(TableToday[[#This Row],[Prod. Order]],Components!A:B,2,FALSE), "0")</calculatedColumnFormula>
    </tableColumn>
    <tableColumn id="7" xr3:uid="{00000000-0010-0000-0000-000007000000}" name="Pack Line" dataDxfId="151" dataCellStyle="Comma">
      <calculatedColumnFormula>IFERROR(VLOOKUP(TableToday[[#This Row],[WorkCenter]],'Resource Info'!A:B,2,FALSE), "0")</calculatedColumnFormula>
    </tableColumn>
    <tableColumn id="1" xr3:uid="{00000000-0010-0000-0000-000001000000}" name="Department" dataDxfId="150">
      <calculatedColumnFormula>IFERROR(VLOOKUP(TableToday[[#This Row],[Pack Line]],'Resource Info'!B:C,2,FALSE),"0")</calculatedColumnFormula>
    </tableColumn>
    <tableColumn id="6" xr3:uid="{6E81C70B-6546-43BC-B073-677F3D166DCD}" name="Hours" dataDxfId="149" dataCellStyle="Comma">
      <calculatedColumnFormula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calculatedColumnFormula>
    </tableColumn>
    <tableColumn id="10" xr3:uid="{BA931DED-16D7-472A-A323-B0421C3E05C2}" name="Capacity" dataDxfId="148" dataCellStyle="Comma">
      <calculatedColumnFormula>IF(OR(TableToday[[#This Row],[Department]]="SSV TREATPACK", TableToday[[#This Row],[Department]]="LSV TREATPACK"),8,"")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2:B216" totalsRowShown="0" headerRowDxfId="147">
  <autoFilter ref="A2:B216" xr:uid="{00000000-0009-0000-0100-000006000000}"/>
  <sortState xmlns:xlrd2="http://schemas.microsoft.com/office/spreadsheetml/2017/richdata2" ref="A2:B3">
    <sortCondition ref="A2"/>
  </sortState>
  <tableColumns count="2">
    <tableColumn id="1" xr3:uid="{00000000-0010-0000-0300-000001000000}" name="Process Order" dataDxfId="146" dataCellStyle="Comma"/>
    <tableColumn id="9" xr3:uid="{00000000-0010-0000-0300-000009000000}" name="Resource" dataDxfId="14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E418E-B4EE-4AD7-B4CA-D65EAF452AF2}" name="LSV_Treatpack" displayName="LSV_Treatpack" ref="A1:M2" tableType="queryTable" insertRow="1" totalsRowShown="0" headerRowDxfId="169">
  <autoFilter ref="A1:M2" xr:uid="{E51E418E-B4EE-4AD7-B4CA-D65EAF452AF2}"/>
  <tableColumns count="13">
    <tableColumn id="1" xr3:uid="{E65FE780-0F12-423C-A263-FD1718B9F0C7}" uniqueName="1" name="Crop" queryTableFieldId="1"/>
    <tableColumn id="2" xr3:uid="{4A6020B3-9078-4776-ABD3-7E8695E4B3CE}" uniqueName="2" name="Material _x000a_Description" queryTableFieldId="2"/>
    <tableColumn id="3" xr3:uid="{B66A3D78-61D9-47C5-B786-A661A01B4ED7}" uniqueName="3" name="Prod. Order" queryTableFieldId="3"/>
    <tableColumn id="4" xr3:uid="{15D993DA-207A-4DED-9070-06ACA3BFFE3D}" uniqueName="4" name="Output_x000a_Qty" queryTableFieldId="4"/>
    <tableColumn id="5" xr3:uid="{7D35707E-2A9C-4AE0-8463-F62242E8BD2A}" uniqueName="5" name="UOM" queryTableFieldId="5"/>
    <tableColumn id="6" xr3:uid="{96CCBD97-D4E5-4C14-B2AB-13878EAE3D3F}" uniqueName="6" name="Scheduled Finish Date (SAP)" queryTableFieldId="6" dataDxfId="168"/>
    <tableColumn id="7" xr3:uid="{2E6F38A3-574D-48C9-9513-56C9FD181939}" uniqueName="7" name="Notes:" queryTableFieldId="7"/>
    <tableColumn id="8" xr3:uid="{ABEC2EE3-0419-436C-9314-C0C1CC9EAE75}" uniqueName="8" name="PO Status" queryTableFieldId="8"/>
    <tableColumn id="9" xr3:uid="{C1688031-0FE1-4A7D-88AD-C80B2B11D136}" uniqueName="9" name="WorkCenter" queryTableFieldId="9"/>
    <tableColumn id="10" xr3:uid="{542E5518-79BF-4F65-AF03-C8FE673B62B0}" uniqueName="10" name="Pack Line" queryTableFieldId="10"/>
    <tableColumn id="11" xr3:uid="{80F6AC94-7E6D-41CE-90E2-B499C3058301}" uniqueName="11" name="Department" queryTableFieldId="11"/>
    <tableColumn id="12" xr3:uid="{34447440-7F6A-42C6-8E48-E852FF782C58}" uniqueName="12" name="Hours" queryTableFieldId="12" dataDxfId="167"/>
    <tableColumn id="13" xr3:uid="{7267E748-89E0-4212-A618-0071B5A9D8F6}" uniqueName="13" name="Capacity" queryTableField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55126-7F42-4E4B-8B09-E2B3DB34E1F8}" name="SSV_Treatpack" displayName="SSV_Treatpack" ref="A1:M2" tableType="queryTable" insertRow="1" totalsRowShown="0" headerRowDxfId="144" dataDxfId="143">
  <autoFilter ref="A1:M2" xr:uid="{4A255126-7F42-4E4B-8B09-E2B3DB34E1F8}"/>
  <tableColumns count="13">
    <tableColumn id="1" xr3:uid="{727FD3CE-0FDE-427E-81DE-4745F53BF3F1}" uniqueName="1" name="Crop" queryTableFieldId="1" dataDxfId="142"/>
    <tableColumn id="2" xr3:uid="{A57F2457-D3D1-473F-83A4-A04FA04F44CF}" uniqueName="2" name="Material _x000a_Description" queryTableFieldId="2" dataDxfId="141"/>
    <tableColumn id="3" xr3:uid="{C8ED2F9B-B444-4322-9717-D99435200C3F}" uniqueName="3" name="Prod. Order" queryTableFieldId="3" dataDxfId="140"/>
    <tableColumn id="4" xr3:uid="{572D7FAE-197E-48C7-A8E4-668E447820A3}" uniqueName="4" name="Output_x000a_Qty" queryTableFieldId="4" dataDxfId="139"/>
    <tableColumn id="5" xr3:uid="{6011AC84-6414-4FF4-99DA-66330B7FD63D}" uniqueName="5" name="UOM" queryTableFieldId="5" dataDxfId="138"/>
    <tableColumn id="6" xr3:uid="{D8F9A205-8849-4267-A838-272F3FB36540}" uniqueName="6" name="Scheduled Finish Date (SAP)" queryTableFieldId="6" dataDxfId="137"/>
    <tableColumn id="7" xr3:uid="{9ADB5E4F-0A33-4CC5-B6AA-71F2812E13F2}" uniqueName="7" name="Notes:" queryTableFieldId="7" dataDxfId="136"/>
    <tableColumn id="8" xr3:uid="{16A71500-F7E4-48CC-9CD0-8E427EF7DE07}" uniqueName="8" name="PO Status" queryTableFieldId="8" dataDxfId="135"/>
    <tableColumn id="9" xr3:uid="{07D7ABC6-373E-4A27-B6D0-22092043B797}" uniqueName="9" name="WorkCenter" queryTableFieldId="9" dataDxfId="134"/>
    <tableColumn id="10" xr3:uid="{54766C83-C74A-445C-9DA6-C03C3CFCB65D}" uniqueName="10" name="Pack Line" queryTableFieldId="10" dataDxfId="133"/>
    <tableColumn id="11" xr3:uid="{28877656-BCFA-4180-A831-6D4CAF723E49}" uniqueName="11" name="Department" queryTableFieldId="11" dataDxfId="132"/>
    <tableColumn id="12" xr3:uid="{B279B6E5-11D1-4DF6-9104-1CB545D6EEBF}" uniqueName="12" name="Hours" queryTableFieldId="12" dataDxfId="131"/>
    <tableColumn id="13" xr3:uid="{0AE99D4E-450B-4D01-B818-3C70D5DA1576}" uniqueName="13" name="Capacity" queryTableFieldId="1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03060A-9CB0-4B29-9ADE-EE9432FD134B}" name="Seed_Health" displayName="Seed_Health" ref="A1:N44" tableType="queryTable" totalsRowShown="0" headerRowDxfId="130" dataDxfId="129">
  <autoFilter ref="A1:N44" xr:uid="{2C03060A-9CB0-4B29-9ADE-EE9432FD134B}"/>
  <sortState xmlns:xlrd2="http://schemas.microsoft.com/office/spreadsheetml/2017/richdata2" ref="A2:N44">
    <sortCondition descending="1" ref="D1:D44"/>
  </sortState>
  <tableColumns count="14">
    <tableColumn id="1" xr3:uid="{511DAE0B-EBB0-42BE-896F-CF76CE4D660E}" uniqueName="1" name="Crop" queryTableFieldId="1" dataDxfId="128"/>
    <tableColumn id="2" xr3:uid="{D71730AF-3101-46CC-962B-2DF83960B9A5}" uniqueName="2" name="Material _x000a_Description" queryTableFieldId="2" dataDxfId="127"/>
    <tableColumn id="3" xr3:uid="{C25116F4-CDF5-40A7-9A22-3D55F6BFA876}" uniqueName="3" name="Prod. Order" queryTableFieldId="3" dataDxfId="126"/>
    <tableColumn id="4" xr3:uid="{4E21130B-8A71-4888-BD21-73DF17AACDCC}" uniqueName="4" name="Output_x000a_Qty" queryTableFieldId="4" dataDxfId="125"/>
    <tableColumn id="5" xr3:uid="{893229FC-7450-49F0-96DC-FBAAFB0C169B}" uniqueName="5" name="UOM" queryTableFieldId="5" dataDxfId="124"/>
    <tableColumn id="6" xr3:uid="{F70BADF4-85CE-4051-A61E-00E7FA667955}" uniqueName="6" name="Scheduled Finish Date (SAP)" queryTableFieldId="6" dataDxfId="123"/>
    <tableColumn id="7" xr3:uid="{9D8D6A80-1F59-48D1-825D-284C4B0B3361}" uniqueName="7" name="Notes:" queryTableFieldId="7" dataDxfId="122"/>
    <tableColumn id="13" xr3:uid="{CCFAA409-E9FD-4F5F-8B42-5A309DD4C1C2}" uniqueName="13" name="Priority" queryTableFieldId="13"/>
    <tableColumn id="8" xr3:uid="{B8907687-A675-4007-AF51-77C439FEF6D5}" uniqueName="8" name="PO Status" queryTableFieldId="8" dataDxfId="121"/>
    <tableColumn id="9" xr3:uid="{0B28421C-45FD-48F8-8EB6-F98310F744FE}" uniqueName="9" name="WorkCenter" queryTableFieldId="9" dataDxfId="120"/>
    <tableColumn id="10" xr3:uid="{04A7E79A-A2CE-4FF9-8779-56B1B294CD51}" uniqueName="10" name="Pack Line" queryTableFieldId="10" dataDxfId="119"/>
    <tableColumn id="11" xr3:uid="{565293B1-9F1C-40B8-B825-A79E2C013269}" uniqueName="11" name="Department" queryTableFieldId="11" dataDxfId="118"/>
    <tableColumn id="12" xr3:uid="{ECECD312-9F22-4AFD-AF24-9A1B68055F60}" uniqueName="12" name="Hours" queryTableFieldId="12"/>
    <tableColumn id="14" xr3:uid="{168B93E3-EDBA-4EB4-90CF-A400EE379849}" uniqueName="14" name="Capacity" queryTableFieldId="1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E66B97-3F94-4C24-BB85-578E97F62671}" name="SSV_Line_3" displayName="SSV_Line_3" ref="A1:N17" tableType="queryTable" totalsRowShown="0" headerRowDxfId="117" dataDxfId="116">
  <autoFilter ref="A1:N17" xr:uid="{0AE66B97-3F94-4C24-BB85-578E97F62671}"/>
  <sortState xmlns:xlrd2="http://schemas.microsoft.com/office/spreadsheetml/2017/richdata2" ref="A2:N17">
    <sortCondition descending="1" ref="D1:D17"/>
  </sortState>
  <tableColumns count="14">
    <tableColumn id="1" xr3:uid="{AFBE1D11-9E5F-4960-B3BD-A47838248FA9}" uniqueName="1" name="Crop" queryTableFieldId="1" dataDxfId="115"/>
    <tableColumn id="2" xr3:uid="{766363A5-A6EF-40A1-B54E-26A99BC6749E}" uniqueName="2" name="Material _x000a_Description" queryTableFieldId="2" dataDxfId="114"/>
    <tableColumn id="3" xr3:uid="{74C932BE-16A6-4161-87F7-246B39139C06}" uniqueName="3" name="Prod. Order" queryTableFieldId="3" dataDxfId="113"/>
    <tableColumn id="4" xr3:uid="{98617217-FA49-4ABB-AC56-4882F91A6DB1}" uniqueName="4" name="Output_x000a_Qty" queryTableFieldId="4" dataDxfId="112"/>
    <tableColumn id="5" xr3:uid="{418F2EFA-09B0-43DF-88D6-1B53CE3217ED}" uniqueName="5" name="UOM" queryTableFieldId="5" dataDxfId="111"/>
    <tableColumn id="6" xr3:uid="{A38DD718-95EC-4EED-B35A-54B39D2F25C3}" uniqueName="6" name="Scheduled Finish Date (SAP)" queryTableFieldId="6" dataDxfId="110"/>
    <tableColumn id="7" xr3:uid="{08E11EFD-477C-4D13-AFC1-B3EEE65B284B}" uniqueName="7" name="Notes:" queryTableFieldId="7" dataDxfId="109"/>
    <tableColumn id="13" xr3:uid="{EE680084-72AE-4BC7-A048-561C5AEDB24D}" uniqueName="13" name="Priority" queryTableFieldId="13"/>
    <tableColumn id="8" xr3:uid="{984A252E-AAF6-4786-A7AD-0986DA259923}" uniqueName="8" name="PO Status" queryTableFieldId="8" dataDxfId="108"/>
    <tableColumn id="9" xr3:uid="{96E6729E-78FA-49D2-95E8-E5673C935C87}" uniqueName="9" name="WorkCenter" queryTableFieldId="9" dataDxfId="107"/>
    <tableColumn id="10" xr3:uid="{B681F883-DAB9-4040-8842-7A969C49DB9B}" uniqueName="10" name="Pack Line" queryTableFieldId="10" dataDxfId="106"/>
    <tableColumn id="11" xr3:uid="{9294CF3D-F2B6-4AE8-A75A-909B20341FC5}" uniqueName="11" name="Department" queryTableFieldId="11" dataDxfId="105"/>
    <tableColumn id="12" xr3:uid="{D362B4E7-8F69-41D4-97E0-4BABC8D7F497}" uniqueName="12" name="Hours" queryTableFieldId="12"/>
    <tableColumn id="14" xr3:uid="{9CBBC2D9-10EB-4885-985A-5E8C27E5A1C7}" uniqueName="14" name="Capacity" queryTableFieldId="1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ADE17E-F78A-4730-93A7-6C7A79815ECA}" name="SSV_Line_5" displayName="SSV_Line_5" ref="A1:N43" tableType="queryTable" totalsRowShown="0" headerRowDxfId="104" dataDxfId="103">
  <autoFilter ref="A1:N43" xr:uid="{97ADE17E-F78A-4730-93A7-6C7A79815ECA}"/>
  <sortState xmlns:xlrd2="http://schemas.microsoft.com/office/spreadsheetml/2017/richdata2" ref="A2:N43">
    <sortCondition descending="1" ref="D1:D43"/>
  </sortState>
  <tableColumns count="14">
    <tableColumn id="1" xr3:uid="{9567F832-34A3-4B28-B2BC-3C8ABD3379F0}" uniqueName="1" name="Crop" queryTableFieldId="1" dataDxfId="102"/>
    <tableColumn id="2" xr3:uid="{8A268B9E-7543-474F-99B8-7EC61AE23696}" uniqueName="2" name="Material _x000a_Description" queryTableFieldId="2" dataDxfId="101"/>
    <tableColumn id="3" xr3:uid="{60383A3A-6F9C-4117-AD7A-85336A920069}" uniqueName="3" name="Prod. Order" queryTableFieldId="3" dataDxfId="100"/>
    <tableColumn id="4" xr3:uid="{44A53640-1678-4A70-B948-CB5C56F59CA5}" uniqueName="4" name="Output_x000a_Qty" queryTableFieldId="4" dataDxfId="99"/>
    <tableColumn id="5" xr3:uid="{4071E775-0F4A-430B-92B3-8334C113DE6B}" uniqueName="5" name="UOM" queryTableFieldId="5" dataDxfId="98"/>
    <tableColumn id="6" xr3:uid="{5D2AA52B-9E37-42B9-BECE-52CE2D61D6BC}" uniqueName="6" name="Scheduled Finish Date (SAP)" queryTableFieldId="6" dataDxfId="97"/>
    <tableColumn id="7" xr3:uid="{236E9558-E1DF-4C4D-8482-921F54BB2387}" uniqueName="7" name="Notes:" queryTableFieldId="7" dataDxfId="96"/>
    <tableColumn id="13" xr3:uid="{A84C7C67-5B31-4300-B3C1-05F9AF04BEC3}" uniqueName="13" name="Priority" queryTableFieldId="13"/>
    <tableColumn id="8" xr3:uid="{2247FC6E-A0E0-41D9-9828-B63AD822742D}" uniqueName="8" name="PO Status" queryTableFieldId="8" dataDxfId="95"/>
    <tableColumn id="9" xr3:uid="{005536F2-A941-4097-9C63-6C7A88AE774E}" uniqueName="9" name="WorkCenter" queryTableFieldId="9" dataDxfId="94"/>
    <tableColumn id="10" xr3:uid="{7E6EF572-CDD4-498D-BACF-ABC0A55E6FE9}" uniqueName="10" name="Pack Line" queryTableFieldId="10" dataDxfId="93"/>
    <tableColumn id="11" xr3:uid="{F779B7B6-D8E0-43B1-882F-A60F053DC6DC}" uniqueName="11" name="Department" queryTableFieldId="11" dataDxfId="92"/>
    <tableColumn id="12" xr3:uid="{B0F578E0-3DFC-48D6-8043-A79F536B3A33}" uniqueName="12" name="Hours" queryTableFieldId="12"/>
    <tableColumn id="14" xr3:uid="{4C521F71-9569-4F96-8317-C0CF275DACF6}" uniqueName="14" name="Capacity" queryTableFieldId="1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C9C036-9928-42ED-957D-413F14450495}" name="SSV_Line_6" displayName="SSV_Line_6" ref="A1:N25" tableType="queryTable" totalsRowShown="0" headerRowDxfId="91" dataDxfId="90">
  <autoFilter ref="A1:N25" xr:uid="{09C9C036-9928-42ED-957D-413F14450495}"/>
  <sortState xmlns:xlrd2="http://schemas.microsoft.com/office/spreadsheetml/2017/richdata2" ref="A2:N25">
    <sortCondition descending="1" ref="D1:D25"/>
  </sortState>
  <tableColumns count="14">
    <tableColumn id="1" xr3:uid="{BD2EB609-5997-4026-B610-7A552DAAA67B}" uniqueName="1" name="Crop" queryTableFieldId="1" dataDxfId="89"/>
    <tableColumn id="2" xr3:uid="{8B124E1E-6C2C-4CCC-9DC5-5635F0B2804D}" uniqueName="2" name="Material _x000a_Description" queryTableFieldId="2" dataDxfId="88"/>
    <tableColumn id="3" xr3:uid="{3B71E670-D114-4701-A46C-162CC343893C}" uniqueName="3" name="Prod. Order" queryTableFieldId="3" dataDxfId="87"/>
    <tableColumn id="4" xr3:uid="{6396914A-AEBD-45D3-BF1B-CE2CD60CE389}" uniqueName="4" name="Output_x000a_Qty" queryTableFieldId="4" dataDxfId="86"/>
    <tableColumn id="5" xr3:uid="{54BE0C01-7DAC-4CAE-BCD6-B98197C70AE9}" uniqueName="5" name="UOM" queryTableFieldId="5" dataDxfId="85"/>
    <tableColumn id="6" xr3:uid="{758EDFA8-3CD0-4200-A69F-5012A13005C3}" uniqueName="6" name="Scheduled Finish Date (SAP)" queryTableFieldId="6" dataDxfId="84"/>
    <tableColumn id="7" xr3:uid="{063FEA22-BF2D-43B6-B129-69157FE0EA39}" uniqueName="7" name="Notes:" queryTableFieldId="7" dataDxfId="83"/>
    <tableColumn id="13" xr3:uid="{41AFFB40-8E76-4F24-843D-8068F8009727}" uniqueName="13" name="Priority" queryTableFieldId="13"/>
    <tableColumn id="8" xr3:uid="{205D0236-5633-4C54-AF12-B69157B99D39}" uniqueName="8" name="PO Status" queryTableFieldId="8" dataDxfId="82"/>
    <tableColumn id="9" xr3:uid="{090B7A0F-E487-4A79-8256-509BC2F36A2A}" uniqueName="9" name="WorkCenter" queryTableFieldId="9" dataDxfId="81"/>
    <tableColumn id="10" xr3:uid="{DAEFA4A7-4519-4582-BB05-84B3B743D615}" uniqueName="10" name="Pack Line" queryTableFieldId="10" dataDxfId="80"/>
    <tableColumn id="11" xr3:uid="{C1955D45-B17D-4D3D-A53B-9DC8B72D0739}" uniqueName="11" name="Department" queryTableFieldId="11" dataDxfId="79"/>
    <tableColumn id="12" xr3:uid="{FBD211B4-5384-4713-A244-F45B11A4A2C8}" uniqueName="12" name="Hours" queryTableFieldId="12"/>
    <tableColumn id="14" xr3:uid="{256A5ABF-FED4-40A3-AC5A-014AA7117D8F}" uniqueName="14" name="Capacity" queryTableFieldId="14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FC15D6-D70E-4F79-9EBE-68F77C6349E9}" name="SSV_Line_7" displayName="SSV_Line_7" ref="A1:N2" tableType="queryTable" insertRow="1" totalsRowShown="0" headerRowDxfId="78" dataDxfId="77">
  <autoFilter ref="A1:N2" xr:uid="{7DFC15D6-D70E-4F79-9EBE-68F77C6349E9}"/>
  <tableColumns count="14">
    <tableColumn id="1" xr3:uid="{38E24E13-6CB1-4A88-9FEB-85EE8849B497}" uniqueName="1" name="Crop" queryTableFieldId="1" dataDxfId="76"/>
    <tableColumn id="2" xr3:uid="{1315AF21-8CF4-4D9C-8C4A-12FCEACF22CF}" uniqueName="2" name="Material _x000a_Description" queryTableFieldId="2" dataDxfId="75"/>
    <tableColumn id="3" xr3:uid="{CAD2A37E-EFA1-4356-9884-9757C6DF4479}" uniqueName="3" name="Prod. Order" queryTableFieldId="3" dataDxfId="74"/>
    <tableColumn id="4" xr3:uid="{3C27B941-05A9-4C8D-AF0C-E71D2958DBA0}" uniqueName="4" name="Output_x000a_Qty" queryTableFieldId="4" dataDxfId="73"/>
    <tableColumn id="5" xr3:uid="{B8F136D0-A43A-4C09-9A36-30319079E200}" uniqueName="5" name="UOM" queryTableFieldId="5" dataDxfId="72"/>
    <tableColumn id="6" xr3:uid="{82FE671D-7474-426B-B271-FDC6D04CB0CC}" uniqueName="6" name="Scheduled Finish Date (SAP)" queryTableFieldId="6" dataDxfId="71"/>
    <tableColumn id="7" xr3:uid="{872C5776-40A9-48D5-BA9F-EA81BA32319B}" uniqueName="7" name="Notes:" queryTableFieldId="7" dataDxfId="70"/>
    <tableColumn id="13" xr3:uid="{9664FA46-476D-4B06-8B9D-671209DFECD9}" uniqueName="13" name="Priority" queryTableFieldId="13"/>
    <tableColumn id="8" xr3:uid="{BCCFE14C-9C0C-4F40-AF9F-3C0B87B1E9DD}" uniqueName="8" name="PO Status" queryTableFieldId="8" dataDxfId="69"/>
    <tableColumn id="9" xr3:uid="{44DC7CBB-C72F-44F1-AB10-46459A13314B}" uniqueName="9" name="WorkCenter" queryTableFieldId="9" dataDxfId="68"/>
    <tableColumn id="10" xr3:uid="{2BD509D7-A856-47E8-9C22-7985AEB1B14C}" uniqueName="10" name="Pack Line" queryTableFieldId="10" dataDxfId="67"/>
    <tableColumn id="11" xr3:uid="{5D19AE13-B627-4B45-AACC-E15ACD85B120}" uniqueName="11" name="Department" queryTableFieldId="11" dataDxfId="66"/>
    <tableColumn id="12" xr3:uid="{FCB1B5DC-D685-4E4F-B730-92A41808B87A}" uniqueName="12" name="Hours" queryTableFieldId="12"/>
    <tableColumn id="14" xr3:uid="{48172F8D-8A40-42E5-8CA2-E2D7066BBB8F}" uniqueName="14" name="Capacity" queryTableFieldId="1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E6317C-F423-47E2-8FC6-7395EC807201}" name="LSV_Line_1" displayName="LSV_Line_1" ref="A1:L16" tableType="queryTable" totalsRowShown="0" headerRowDxfId="65" dataDxfId="64">
  <autoFilter ref="A1:L16" xr:uid="{EBE6317C-F423-47E2-8FC6-7395EC807201}"/>
  <sortState xmlns:xlrd2="http://schemas.microsoft.com/office/spreadsheetml/2017/richdata2" ref="A2:L16">
    <sortCondition descending="1" ref="D1:D16"/>
  </sortState>
  <tableColumns count="12">
    <tableColumn id="1" xr3:uid="{766AFA7F-9888-4B7E-A176-0AFF3CE6E2FA}" uniqueName="1" name="Crop" queryTableFieldId="1" dataDxfId="63"/>
    <tableColumn id="2" xr3:uid="{946D6D01-F574-47E1-8179-79EE5217C99F}" uniqueName="2" name="Material _x000a_Description" queryTableFieldId="2" dataDxfId="62"/>
    <tableColumn id="3" xr3:uid="{A1A2B109-E6A3-4847-BDAD-FDBF2210D804}" uniqueName="3" name="Prod. Order" queryTableFieldId="3" dataDxfId="61"/>
    <tableColumn id="4" xr3:uid="{9259F3CA-0864-4FCF-9F49-8B63321C39DE}" uniqueName="4" name="Output_x000a_Qty" queryTableFieldId="4" dataDxfId="60"/>
    <tableColumn id="5" xr3:uid="{3F7E3CBB-EAD4-4646-84CD-992F0F02B561}" uniqueName="5" name="UOM" queryTableFieldId="5" dataDxfId="59"/>
    <tableColumn id="6" xr3:uid="{697D8D0A-7B7C-483F-B8A1-CE4ED3355FA7}" uniqueName="6" name="Scheduled Finish Date (SAP)" queryTableFieldId="6" dataDxfId="58"/>
    <tableColumn id="7" xr3:uid="{5BD00065-7357-46AE-BF83-F0F1B5B7F7F8}" uniqueName="7" name="Notes:" queryTableFieldId="7" dataDxfId="57"/>
    <tableColumn id="12" xr3:uid="{3C4EA80E-F7FE-4D08-8014-5F1A3DE9BFBD}" uniqueName="12" name="Priority" queryTableFieldId="13"/>
    <tableColumn id="8" xr3:uid="{501F6D1D-2843-4F5D-A695-8E8C11F82F11}" uniqueName="8" name="PO Status" queryTableFieldId="8" dataDxfId="56"/>
    <tableColumn id="9" xr3:uid="{D1C6332F-6D05-45E7-8630-5FF00B9771FB}" uniqueName="9" name="WorkCenter" queryTableFieldId="9" dataDxfId="55"/>
    <tableColumn id="10" xr3:uid="{7F9B6DF7-85AD-4C68-A75B-781554C8CEB2}" uniqueName="10" name="Pack Line" queryTableFieldId="10" dataDxfId="54"/>
    <tableColumn id="11" xr3:uid="{A0AF5F90-B366-4424-896B-8FB35F46250F}" uniqueName="11" name="Department" queryTableFieldId="11" dataDxfId="5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6B16D3-4BFF-427D-B74E-5DCE97DAFCC6}" name="LSV_Line_2" displayName="LSV_Line_2" ref="A1:L41" tableType="queryTable" totalsRowShown="0" headerRowDxfId="52" dataDxfId="51">
  <autoFilter ref="A1:L41" xr:uid="{AD6B16D3-4BFF-427D-B74E-5DCE97DAFCC6}"/>
  <sortState xmlns:xlrd2="http://schemas.microsoft.com/office/spreadsheetml/2017/richdata2" ref="A2:L41">
    <sortCondition descending="1" ref="D1:D41"/>
  </sortState>
  <tableColumns count="12">
    <tableColumn id="1" xr3:uid="{AA3B6B16-8193-4068-BE34-AF4C19526DB0}" uniqueName="1" name="Crop" queryTableFieldId="1" dataDxfId="50"/>
    <tableColumn id="2" xr3:uid="{C6376826-0FDA-44F1-9625-EF31DBEBE2AC}" uniqueName="2" name="Material _x000a_Description" queryTableFieldId="2" dataDxfId="49"/>
    <tableColumn id="3" xr3:uid="{25EAE398-C7B3-4012-A519-97FCD2B9C353}" uniqueName="3" name="Prod. Order" queryTableFieldId="3" dataDxfId="48"/>
    <tableColumn id="4" xr3:uid="{BFBFD7A4-D31A-487D-B97D-3041B6BADA60}" uniqueName="4" name="Output_x000a_Qty" queryTableFieldId="4" dataDxfId="47"/>
    <tableColumn id="5" xr3:uid="{71849C7F-D9B0-4C94-ACEE-11D1184C49D9}" uniqueName="5" name="UOM" queryTableFieldId="5" dataDxfId="46"/>
    <tableColumn id="6" xr3:uid="{4DDF1D44-20B0-4A49-81C8-397809374D13}" uniqueName="6" name="Scheduled Finish Date (SAP)" queryTableFieldId="6" dataDxfId="45"/>
    <tableColumn id="7" xr3:uid="{3151E865-196B-4962-B0B6-2C3655D5C83A}" uniqueName="7" name="Notes:" queryTableFieldId="7" dataDxfId="44"/>
    <tableColumn id="12" xr3:uid="{4A7A7079-F5FE-476B-BC6F-7BFB9890F7B4}" uniqueName="12" name="Priority" queryTableFieldId="13"/>
    <tableColumn id="8" xr3:uid="{AF962DED-5D1A-48F2-B642-4226ED9ADA84}" uniqueName="8" name="PO Status" queryTableFieldId="8" dataDxfId="43"/>
    <tableColumn id="9" xr3:uid="{53F8EC5A-74A3-4892-AD28-22D46B22D01A}" uniqueName="9" name="WorkCenter" queryTableFieldId="9" dataDxfId="42"/>
    <tableColumn id="10" xr3:uid="{28040FDD-7B19-4D56-A3D1-8E56855EC5F0}" uniqueName="10" name="Pack Line" queryTableFieldId="10" dataDxfId="41"/>
    <tableColumn id="11" xr3:uid="{9C9B73E9-0CF7-4214-A35E-660644EBFB9B}" uniqueName="11" name="Department" queryTableFieldId="11" dataDxfId="40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D81285-86E9-48FA-B6C1-82DCC7D55CDA}" name="LSV_Gravity" displayName="LSV_Gravity" ref="B1:O23" tableType="queryTable" totalsRowShown="0" headerRowDxfId="39" dataDxfId="38">
  <autoFilter ref="B1:O23" xr:uid="{3ED81285-86E9-48FA-B6C1-82DCC7D55CDA}"/>
  <sortState xmlns:xlrd2="http://schemas.microsoft.com/office/spreadsheetml/2017/richdata2" ref="B2:O23">
    <sortCondition descending="1" ref="E1:E23"/>
  </sortState>
  <tableColumns count="14">
    <tableColumn id="1" xr3:uid="{E0B5AE28-2286-4C8A-8634-C9BF9B712468}" uniqueName="1" name="Crop" queryTableFieldId="1" dataDxfId="37"/>
    <tableColumn id="2" xr3:uid="{CCB88E22-137D-4E91-81E9-C3D5B2CF89C8}" uniqueName="2" name="Material _x000a_Description" queryTableFieldId="2" dataDxfId="36"/>
    <tableColumn id="3" xr3:uid="{C8583E41-02BF-4342-9E6B-6422DAD563D0}" uniqueName="3" name="Prod. Order" queryTableFieldId="3" dataDxfId="35"/>
    <tableColumn id="4" xr3:uid="{D5344B2A-DEE2-46A6-A42D-5B3CC13CEB16}" uniqueName="4" name="Output_x000a_Qty" queryTableFieldId="4" dataDxfId="34"/>
    <tableColumn id="5" xr3:uid="{F11E8758-2C4A-491A-A11A-9D45EF479FF9}" uniqueName="5" name="UOM" queryTableFieldId="5" dataDxfId="33"/>
    <tableColumn id="6" xr3:uid="{7D77325A-D617-435A-BCC4-2C3F6A0DCBCD}" uniqueName="6" name="Scheduled Finish Date (SAP)" queryTableFieldId="6" dataDxfId="32"/>
    <tableColumn id="7" xr3:uid="{80E13714-2843-4D4F-B902-E55C07F07952}" uniqueName="7" name="Notes:" queryTableFieldId="7" dataDxfId="31"/>
    <tableColumn id="13" xr3:uid="{8A615284-F153-400C-A8BF-034DCDF673A2}" uniqueName="13" name="Priority" queryTableFieldId="13"/>
    <tableColumn id="8" xr3:uid="{FAD5248C-0B35-4898-A7AA-2B279088E067}" uniqueName="8" name="PO Status" queryTableFieldId="8" dataDxfId="30"/>
    <tableColumn id="9" xr3:uid="{494B4779-6942-4012-98D9-A1142A1D1EFA}" uniqueName="9" name="WorkCenter" queryTableFieldId="9" dataDxfId="29"/>
    <tableColumn id="10" xr3:uid="{A056561B-C67A-4F84-82AD-E3BD281D9732}" uniqueName="10" name="Pack Line" queryTableFieldId="10" dataDxfId="28"/>
    <tableColumn id="11" xr3:uid="{9FABCCE5-BB48-43E6-B6E7-1E1D4B19A5FA}" uniqueName="11" name="Department" queryTableFieldId="11" dataDxfId="27"/>
    <tableColumn id="12" xr3:uid="{B389F407-C90B-47EE-B4C5-AA854E9C1A55}" uniqueName="12" name="Hours" queryTableFieldId="12"/>
    <tableColumn id="14" xr3:uid="{FF154BB6-047D-4C17-9E61-A09BB1852219}" uniqueName="14" name="Capacity" queryTableFieldId="1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CD24C4A-CA5E-4262-AE51-CD1D6E13BBE9}" name="LSV_Colorsort" displayName="LSV_Colorsort" ref="A1:N2" tableType="queryTable" insertRow="1" totalsRowShown="0" headerRowDxfId="26" dataDxfId="25">
  <autoFilter ref="A1:N2" xr:uid="{FCD24C4A-CA5E-4262-AE51-CD1D6E13BBE9}"/>
  <tableColumns count="14">
    <tableColumn id="1" xr3:uid="{B88AA93E-0D60-4F6F-A13E-CF3CA6F412F7}" uniqueName="1" name="Crop" queryTableFieldId="1" dataDxfId="24"/>
    <tableColumn id="2" xr3:uid="{95628174-3417-428B-9853-A8FDA2301824}" uniqueName="2" name="Material _x000a_Description" queryTableFieldId="2" dataDxfId="23"/>
    <tableColumn id="3" xr3:uid="{CA6593B0-1F32-4911-A713-B957E4E9C104}" uniqueName="3" name="Prod. Order" queryTableFieldId="3" dataDxfId="22"/>
    <tableColumn id="4" xr3:uid="{C1DB4635-9861-4CBF-A647-EB7C0CB1A5A3}" uniqueName="4" name="Output_x000a_Qty" queryTableFieldId="4" dataDxfId="21"/>
    <tableColumn id="5" xr3:uid="{3E183ABC-8D42-4806-8604-A0D430E621A6}" uniqueName="5" name="UOM" queryTableFieldId="5" dataDxfId="20"/>
    <tableColumn id="6" xr3:uid="{DF10E483-5F62-480F-AC3F-611F29EA21ED}" uniqueName="6" name="Scheduled Finish Date (SAP)" queryTableFieldId="6" dataDxfId="19"/>
    <tableColumn id="7" xr3:uid="{6B55E403-2032-440A-B931-AFDCF256B42A}" uniqueName="7" name="Notes:" queryTableFieldId="7" dataDxfId="18"/>
    <tableColumn id="13" xr3:uid="{19233DA4-8A79-49DC-892A-08ABFEE61A53}" uniqueName="13" name="Priority" queryTableFieldId="13"/>
    <tableColumn id="8" xr3:uid="{BCA74404-3294-48A2-A23F-3559BA385470}" uniqueName="8" name="PO Status" queryTableFieldId="8" dataDxfId="17"/>
    <tableColumn id="9" xr3:uid="{67CB45AA-5A36-4F3F-8162-452C9287479B}" uniqueName="9" name="WorkCenter" queryTableFieldId="9" dataDxfId="16"/>
    <tableColumn id="10" xr3:uid="{13F82592-653B-42A2-BB2A-BF8EA483B5E1}" uniqueName="10" name="Pack Line" queryTableFieldId="10" dataDxfId="15"/>
    <tableColumn id="11" xr3:uid="{9E6C48FB-4DDD-493F-B842-240412E24CC6}" uniqueName="11" name="Department" queryTableFieldId="11" dataDxfId="14"/>
    <tableColumn id="12" xr3:uid="{2DF08F3B-B5DB-4C07-AB91-3D5D04612E41}" uniqueName="12" name="Hours" queryTableFieldId="12"/>
    <tableColumn id="14" xr3:uid="{5D9085A5-CC20-493F-93C1-D88FE9E1C4CE}" uniqueName="14" name="Capacity" queryTableFieldId="14"/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tro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Metro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orbel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1B50-DD7D-4B46-92EC-65C27CC93C84}">
  <sheetPr>
    <tabColor rgb="FF92D050"/>
    <pageSetUpPr fitToPage="1"/>
  </sheetPr>
  <dimension ref="A1:Q203"/>
  <sheetViews>
    <sheetView showGridLines="0" zoomScaleNormal="100" workbookViewId="0">
      <pane ySplit="1" topLeftCell="A2" activePane="bottomLeft" state="frozen"/>
      <selection activeCell="P29" sqref="P29:P162"/>
      <selection pane="bottomLeft" activeCell="L7" sqref="L7"/>
    </sheetView>
  </sheetViews>
  <sheetFormatPr baseColWidth="10" defaultColWidth="9" defaultRowHeight="15"/>
  <cols>
    <col min="1" max="1" width="10" style="10" customWidth="1"/>
    <col min="2" max="2" width="45.33203125" style="10" customWidth="1"/>
    <col min="3" max="3" width="18.83203125" style="1" customWidth="1"/>
    <col min="4" max="4" width="13.5" style="3" bestFit="1" customWidth="1"/>
    <col min="5" max="5" width="7.1640625" style="7" customWidth="1"/>
    <col min="6" max="6" width="17.1640625" style="7" customWidth="1"/>
    <col min="7" max="7" width="46" style="11" customWidth="1"/>
    <col min="8" max="8" width="16.83203125" style="64" customWidth="1"/>
    <col min="9" max="9" width="12.83203125" style="13" customWidth="1"/>
    <col min="10" max="10" width="21.83203125" customWidth="1"/>
    <col min="11" max="11" width="20.83203125" style="6" customWidth="1"/>
    <col min="12" max="12" width="20.83203125" customWidth="1"/>
    <col min="14" max="14" width="24.33203125" style="6" customWidth="1"/>
    <col min="15" max="15" width="19.5" customWidth="1"/>
    <col min="16" max="16" width="22" style="6" customWidth="1"/>
    <col min="17" max="17" width="23.6640625" style="6" customWidth="1"/>
    <col min="18" max="18" width="9" style="8"/>
    <col min="19" max="19" width="17.1640625" style="8" customWidth="1"/>
    <col min="20" max="20" width="15.1640625" style="8" customWidth="1"/>
    <col min="21" max="22" width="10.33203125" style="8" customWidth="1"/>
    <col min="23" max="16384" width="9" style="8"/>
  </cols>
  <sheetData>
    <row r="1" spans="1:14" s="9" customFormat="1" ht="41.5" customHeight="1" thickBot="1">
      <c r="A1" s="46" t="s">
        <v>0</v>
      </c>
      <c r="B1" s="46" t="s">
        <v>1</v>
      </c>
      <c r="C1" s="46" t="s">
        <v>2</v>
      </c>
      <c r="D1" s="47" t="s">
        <v>3</v>
      </c>
      <c r="E1" s="48" t="s">
        <v>4</v>
      </c>
      <c r="F1" s="49" t="s">
        <v>5</v>
      </c>
      <c r="G1" s="50" t="s">
        <v>6</v>
      </c>
      <c r="H1" s="63" t="s">
        <v>7</v>
      </c>
      <c r="I1" s="51" t="s">
        <v>8</v>
      </c>
      <c r="J1" s="52" t="s">
        <v>9</v>
      </c>
      <c r="K1" s="53" t="s">
        <v>10</v>
      </c>
      <c r="L1" s="52" t="s">
        <v>11</v>
      </c>
      <c r="M1" s="52" t="s">
        <v>12</v>
      </c>
      <c r="N1" s="52" t="s">
        <v>13</v>
      </c>
    </row>
    <row r="2" spans="1:14">
      <c r="A2" s="4" t="str">
        <f t="shared" ref="A2:A65" si="0">TRIM(LEFT(B2,4))</f>
        <v>SWCO</v>
      </c>
      <c r="B2" s="93" t="s">
        <v>236</v>
      </c>
      <c r="C2" s="90">
        <v>300102044</v>
      </c>
      <c r="D2" s="91">
        <v>1035</v>
      </c>
      <c r="E2" s="93" t="s">
        <v>14</v>
      </c>
      <c r="F2" s="66">
        <v>46209</v>
      </c>
      <c r="G2" s="67" t="s">
        <v>237</v>
      </c>
      <c r="H2" s="68"/>
      <c r="I2" s="12" t="str">
        <f t="shared" ref="I2:I65" si="1">"NEW"</f>
        <v>NEW</v>
      </c>
      <c r="J2" s="5" t="str">
        <f>IFERROR(VLOOKUP(TableToday[[#This Row],[Prod. Order]],Components!A:B,2,FALSE), "0")</f>
        <v>LSVGRVTY</v>
      </c>
      <c r="K2" s="5" t="str">
        <f>IFERROR(VLOOKUP(TableToday[[#This Row],[WorkCenter]],'Resource Info'!A:B,2,FALSE), "0")</f>
        <v>LSV Gravity</v>
      </c>
      <c r="L2" s="6" t="str">
        <f>IFERROR(VLOOKUP(TableToday[[#This Row],[Pack Line]],'Resource Info'!B:C,2,FALSE),"0")</f>
        <v>LSV Conditioning</v>
      </c>
      <c r="M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" s="62" t="str">
        <f>IF(OR(TableToday[[#This Row],[Department]]="SSV TREATPACK", TableToday[[#This Row],[Department]]="LSV TREATPACK"),8,"")</f>
        <v/>
      </c>
    </row>
    <row r="3" spans="1:14">
      <c r="A3" s="4" t="str">
        <f t="shared" si="0"/>
        <v>SWCO</v>
      </c>
      <c r="B3" s="93" t="s">
        <v>339</v>
      </c>
      <c r="C3" s="90">
        <v>1002307551</v>
      </c>
      <c r="D3" s="91">
        <v>6400</v>
      </c>
      <c r="E3" s="93" t="s">
        <v>14</v>
      </c>
      <c r="F3" s="66">
        <v>46324</v>
      </c>
      <c r="G3" s="67" t="s">
        <v>15</v>
      </c>
      <c r="H3" s="68">
        <v>2</v>
      </c>
      <c r="I3" s="12" t="str">
        <f t="shared" si="1"/>
        <v>NEW</v>
      </c>
      <c r="J3" s="5" t="str">
        <f>IFERROR(VLOOKUP(TableToday[[#This Row],[Prod. Order]],Components!A:B,2,FALSE), "0")</f>
        <v>LSVLN2</v>
      </c>
      <c r="K3" s="5" t="str">
        <f>IFERROR(VLOOKUP(TableToday[[#This Row],[WorkCenter]],'Resource Info'!A:B,2,FALSE), "0")</f>
        <v>LSV Line 2</v>
      </c>
      <c r="L3" s="6" t="str">
        <f>IFERROR(VLOOKUP(TableToday[[#This Row],[Pack Line]],'Resource Info'!B:C,2,FALSE),"0")</f>
        <v>LSV Conditioning</v>
      </c>
      <c r="M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" s="62" t="str">
        <f>IF(OR(TableToday[[#This Row],[Department]]="SSV TREATPACK", TableToday[[#This Row],[Department]]="LSV TREATPACK"),8,"")</f>
        <v/>
      </c>
    </row>
    <row r="4" spans="1:14">
      <c r="A4" s="4" t="str">
        <f t="shared" si="0"/>
        <v>SWBS</v>
      </c>
      <c r="B4" s="93" t="s">
        <v>379</v>
      </c>
      <c r="C4" s="90">
        <v>1002302915</v>
      </c>
      <c r="D4" s="91">
        <v>360.5</v>
      </c>
      <c r="E4" s="93" t="s">
        <v>14</v>
      </c>
      <c r="F4" s="66">
        <v>46341</v>
      </c>
      <c r="G4" s="67" t="s">
        <v>380</v>
      </c>
      <c r="H4" s="68">
        <v>5</v>
      </c>
      <c r="I4" s="12" t="str">
        <f t="shared" si="1"/>
        <v>NEW</v>
      </c>
      <c r="J4" s="5" t="str">
        <f>IFERROR(VLOOKUP(TableToday[[#This Row],[Prod. Order]],Components!A:B,2,FALSE), "0")</f>
        <v>LSVLN1</v>
      </c>
      <c r="K4" s="5" t="str">
        <f>IFERROR(VLOOKUP(TableToday[[#This Row],[WorkCenter]],'Resource Info'!A:B,2,FALSE), "0")</f>
        <v>LSV Line 1</v>
      </c>
      <c r="L4" s="6" t="str">
        <f>IFERROR(VLOOKUP(TableToday[[#This Row],[Pack Line]],'Resource Info'!B:C,2,FALSE),"0")</f>
        <v>LSV Conditioning</v>
      </c>
      <c r="M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" s="62" t="str">
        <f>IF(OR(TableToday[[#This Row],[Department]]="SSV TREATPACK", TableToday[[#This Row],[Department]]="LSV TREATPACK"),8,"")</f>
        <v/>
      </c>
    </row>
    <row r="5" spans="1:14">
      <c r="A5" s="4" t="str">
        <f t="shared" si="0"/>
        <v>SWBS</v>
      </c>
      <c r="B5" s="93" t="s">
        <v>379</v>
      </c>
      <c r="C5" s="90">
        <v>1002302916</v>
      </c>
      <c r="D5" s="91">
        <v>697.5</v>
      </c>
      <c r="E5" s="93" t="s">
        <v>14</v>
      </c>
      <c r="F5" s="66">
        <v>46341</v>
      </c>
      <c r="G5" s="67" t="s">
        <v>380</v>
      </c>
      <c r="H5" s="68">
        <v>5</v>
      </c>
      <c r="I5" s="12" t="str">
        <f t="shared" si="1"/>
        <v>NEW</v>
      </c>
      <c r="J5" s="5" t="str">
        <f>IFERROR(VLOOKUP(TableToday[[#This Row],[Prod. Order]],Components!A:B,2,FALSE), "0")</f>
        <v>LSVLN1</v>
      </c>
      <c r="K5" s="5" t="str">
        <f>IFERROR(VLOOKUP(TableToday[[#This Row],[WorkCenter]],'Resource Info'!A:B,2,FALSE), "0")</f>
        <v>LSV Line 1</v>
      </c>
      <c r="L5" s="6" t="str">
        <f>IFERROR(VLOOKUP(TableToday[[#This Row],[Pack Line]],'Resource Info'!B:C,2,FALSE),"0")</f>
        <v>LSV Conditioning</v>
      </c>
      <c r="M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" s="62" t="str">
        <f>IF(OR(TableToday[[#This Row],[Department]]="SSV TREATPACK", TableToday[[#This Row],[Department]]="LSV TREATPACK"),8,"")</f>
        <v/>
      </c>
    </row>
    <row r="6" spans="1:14">
      <c r="A6" s="4" t="str">
        <f t="shared" si="0"/>
        <v>SWCO</v>
      </c>
      <c r="B6" s="93" t="s">
        <v>16</v>
      </c>
      <c r="C6" s="90">
        <v>1002174855</v>
      </c>
      <c r="D6" s="91">
        <v>48400</v>
      </c>
      <c r="E6" s="93" t="s">
        <v>14</v>
      </c>
      <c r="F6" s="66">
        <v>46021</v>
      </c>
      <c r="G6" s="67" t="s">
        <v>15</v>
      </c>
      <c r="H6" s="68">
        <v>1</v>
      </c>
      <c r="I6" s="12" t="str">
        <f t="shared" si="1"/>
        <v>NEW</v>
      </c>
      <c r="J6" s="5" t="str">
        <f>IFERROR(VLOOKUP(TableToday[[#This Row],[Prod. Order]],Components!A:B,2,FALSE), "0")</f>
        <v>LSVLN1</v>
      </c>
      <c r="K6" s="5" t="str">
        <f>IFERROR(VLOOKUP(TableToday[[#This Row],[WorkCenter]],'Resource Info'!A:B,2,FALSE), "0")</f>
        <v>LSV Line 1</v>
      </c>
      <c r="L6" s="6" t="str">
        <f>IFERROR(VLOOKUP(TableToday[[#This Row],[Pack Line]],'Resource Info'!B:C,2,FALSE),"0")</f>
        <v>LSV Conditioning</v>
      </c>
      <c r="M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" s="62" t="str">
        <f>IF(OR(TableToday[[#This Row],[Department]]="SSV TREATPACK", TableToday[[#This Row],[Department]]="LSV TREATPACK"),8,"")</f>
        <v/>
      </c>
    </row>
    <row r="7" spans="1:14">
      <c r="A7" s="4" t="str">
        <f t="shared" si="0"/>
        <v>SWCO</v>
      </c>
      <c r="B7" s="93" t="s">
        <v>16</v>
      </c>
      <c r="C7" s="90">
        <v>2400008125</v>
      </c>
      <c r="D7" s="91">
        <v>3994</v>
      </c>
      <c r="E7" s="93" t="s">
        <v>14</v>
      </c>
      <c r="F7" s="66">
        <v>46265</v>
      </c>
      <c r="G7" s="67" t="s">
        <v>257</v>
      </c>
      <c r="H7" s="68"/>
      <c r="I7" s="12" t="str">
        <f t="shared" si="1"/>
        <v>NEW</v>
      </c>
      <c r="J7" s="5" t="str">
        <f>IFERROR(VLOOKUP(TableToday[[#This Row],[Prod. Order]],Components!A:B,2,FALSE), "0")</f>
        <v>LSVGRVTY</v>
      </c>
      <c r="K7" s="5" t="str">
        <f>IFERROR(VLOOKUP(TableToday[[#This Row],[WorkCenter]],'Resource Info'!A:B,2,FALSE), "0")</f>
        <v>LSV Gravity</v>
      </c>
      <c r="L7" s="6" t="str">
        <f>IFERROR(VLOOKUP(TableToday[[#This Row],[Pack Line]],'Resource Info'!B:C,2,FALSE),"0")</f>
        <v>LSV Conditioning</v>
      </c>
      <c r="M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" s="62" t="str">
        <f>IF(OR(TableToday[[#This Row],[Department]]="SSV TREATPACK", TableToday[[#This Row],[Department]]="LSV TREATPACK"),8,"")</f>
        <v/>
      </c>
    </row>
    <row r="8" spans="1:14">
      <c r="A8" s="4" t="str">
        <f t="shared" si="0"/>
        <v>SWCO</v>
      </c>
      <c r="B8" s="93" t="s">
        <v>17</v>
      </c>
      <c r="C8" s="90">
        <v>1002181889</v>
      </c>
      <c r="D8" s="91">
        <v>42000</v>
      </c>
      <c r="E8" s="93" t="s">
        <v>14</v>
      </c>
      <c r="F8" s="66">
        <v>46020</v>
      </c>
      <c r="G8" s="67" t="s">
        <v>18</v>
      </c>
      <c r="H8" s="68">
        <v>7</v>
      </c>
      <c r="I8" s="12" t="str">
        <f t="shared" si="1"/>
        <v>NEW</v>
      </c>
      <c r="J8" s="5" t="str">
        <f>IFERROR(VLOOKUP(TableToday[[#This Row],[Prod. Order]],Components!A:B,2,FALSE), "0")</f>
        <v>LSVLN1</v>
      </c>
      <c r="K8" s="5" t="str">
        <f>IFERROR(VLOOKUP(TableToday[[#This Row],[WorkCenter]],'Resource Info'!A:B,2,FALSE), "0")</f>
        <v>LSV Line 1</v>
      </c>
      <c r="L8" s="6" t="str">
        <f>IFERROR(VLOOKUP(TableToday[[#This Row],[Pack Line]],'Resource Info'!B:C,2,FALSE),"0")</f>
        <v>LSV Conditioning</v>
      </c>
      <c r="M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" s="62" t="str">
        <f>IF(OR(TableToday[[#This Row],[Department]]="SSV TREATPACK", TableToday[[#This Row],[Department]]="LSV TREATPACK"),8,"")</f>
        <v/>
      </c>
    </row>
    <row r="9" spans="1:14">
      <c r="A9" s="4" t="str">
        <f t="shared" si="0"/>
        <v>SWCO</v>
      </c>
      <c r="B9" s="93" t="s">
        <v>17</v>
      </c>
      <c r="C9" s="90">
        <v>300102084</v>
      </c>
      <c r="D9" s="91">
        <v>564.5</v>
      </c>
      <c r="E9" s="93" t="s">
        <v>14</v>
      </c>
      <c r="F9" s="66">
        <v>46210</v>
      </c>
      <c r="G9" s="67" t="s">
        <v>238</v>
      </c>
      <c r="H9" s="68"/>
      <c r="I9" s="12" t="str">
        <f t="shared" si="1"/>
        <v>NEW</v>
      </c>
      <c r="J9" s="5" t="str">
        <f>IFERROR(VLOOKUP(TableToday[[#This Row],[Prod. Order]],Components!A:B,2,FALSE), "0")</f>
        <v>LSVGRVTY</v>
      </c>
      <c r="K9" s="5" t="str">
        <f>IFERROR(VLOOKUP(TableToday[[#This Row],[WorkCenter]],'Resource Info'!A:B,2,FALSE), "0")</f>
        <v>LSV Gravity</v>
      </c>
      <c r="L9" s="6" t="str">
        <f>IFERROR(VLOOKUP(TableToday[[#This Row],[Pack Line]],'Resource Info'!B:C,2,FALSE),"0")</f>
        <v>LSV Conditioning</v>
      </c>
      <c r="M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" s="62" t="str">
        <f>IF(OR(TableToday[[#This Row],[Department]]="SSV TREATPACK", TableToday[[#This Row],[Department]]="LSV TREATPACK"),8,"")</f>
        <v/>
      </c>
    </row>
    <row r="10" spans="1:14">
      <c r="A10" s="4" t="str">
        <f t="shared" si="0"/>
        <v>SWBS</v>
      </c>
      <c r="B10" s="93" t="s">
        <v>222</v>
      </c>
      <c r="C10" s="90">
        <v>1002270166</v>
      </c>
      <c r="D10" s="91">
        <v>1939</v>
      </c>
      <c r="E10" s="93" t="s">
        <v>14</v>
      </c>
      <c r="F10" s="66">
        <v>46164</v>
      </c>
      <c r="G10" s="67" t="s">
        <v>223</v>
      </c>
      <c r="H10" s="68"/>
      <c r="I10" s="12" t="str">
        <f t="shared" si="1"/>
        <v>NEW</v>
      </c>
      <c r="J10" s="5" t="str">
        <f>IFERROR(VLOOKUP(TableToday[[#This Row],[Prod. Order]],Components!A:B,2,FALSE), "0")</f>
        <v>LSVLN2</v>
      </c>
      <c r="K10" s="5" t="str">
        <f>IFERROR(VLOOKUP(TableToday[[#This Row],[WorkCenter]],'Resource Info'!A:B,2,FALSE), "0")</f>
        <v>LSV Line 2</v>
      </c>
      <c r="L10" s="6" t="str">
        <f>IFERROR(VLOOKUP(TableToday[[#This Row],[Pack Line]],'Resource Info'!B:C,2,FALSE),"0")</f>
        <v>LSV Conditioning</v>
      </c>
      <c r="M1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" s="62" t="str">
        <f>IF(OR(TableToday[[#This Row],[Department]]="SSV TREATPACK", TableToday[[#This Row],[Department]]="LSV TREATPACK"),8,"")</f>
        <v/>
      </c>
    </row>
    <row r="11" spans="1:14">
      <c r="A11" s="4" t="str">
        <f t="shared" si="0"/>
        <v>SWCO</v>
      </c>
      <c r="B11" s="93" t="s">
        <v>340</v>
      </c>
      <c r="C11" s="90">
        <v>1002307550</v>
      </c>
      <c r="D11" s="91">
        <v>3300</v>
      </c>
      <c r="E11" s="93" t="s">
        <v>14</v>
      </c>
      <c r="F11" s="66">
        <v>46324</v>
      </c>
      <c r="G11" s="67" t="s">
        <v>23</v>
      </c>
      <c r="H11" s="68">
        <v>4</v>
      </c>
      <c r="I11" s="12" t="str">
        <f t="shared" si="1"/>
        <v>NEW</v>
      </c>
      <c r="J11" s="5" t="str">
        <f>IFERROR(VLOOKUP(TableToday[[#This Row],[Prod. Order]],Components!A:B,2,FALSE), "0")</f>
        <v>LSVLN2</v>
      </c>
      <c r="K11" s="5" t="str">
        <f>IFERROR(VLOOKUP(TableToday[[#This Row],[WorkCenter]],'Resource Info'!A:B,2,FALSE), "0")</f>
        <v>LSV Line 2</v>
      </c>
      <c r="L11" s="6" t="str">
        <f>IFERROR(VLOOKUP(TableToday[[#This Row],[Pack Line]],'Resource Info'!B:C,2,FALSE),"0")</f>
        <v>LSV Conditioning</v>
      </c>
      <c r="M1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" s="62" t="str">
        <f>IF(OR(TableToday[[#This Row],[Department]]="SSV TREATPACK", TableToday[[#This Row],[Department]]="LSV TREATPACK"),8,"")</f>
        <v/>
      </c>
    </row>
    <row r="12" spans="1:14">
      <c r="A12" s="4" t="str">
        <f t="shared" si="0"/>
        <v>MEBS</v>
      </c>
      <c r="B12" s="93" t="s">
        <v>327</v>
      </c>
      <c r="C12" s="90">
        <v>1002306429</v>
      </c>
      <c r="D12" s="91">
        <v>10.66</v>
      </c>
      <c r="E12" s="93" t="s">
        <v>14</v>
      </c>
      <c r="F12" s="66">
        <v>46296</v>
      </c>
      <c r="G12" s="67" t="s">
        <v>317</v>
      </c>
      <c r="H12" s="68"/>
      <c r="I12" s="12" t="str">
        <f t="shared" si="1"/>
        <v>NEW</v>
      </c>
      <c r="J12" s="5" t="str">
        <f>IFERROR(VLOOKUP(TableToday[[#This Row],[Prod. Order]],Components!A:B,2,FALSE), "0")</f>
        <v>SSVLN5</v>
      </c>
      <c r="K12" s="5" t="str">
        <f>IFERROR(VLOOKUP(TableToday[[#This Row],[WorkCenter]],'Resource Info'!A:B,2,FALSE), "0")</f>
        <v>SSV Line 5</v>
      </c>
      <c r="L12" s="6" t="str">
        <f>IFERROR(VLOOKUP(TableToday[[#This Row],[Pack Line]],'Resource Info'!B:C,2,FALSE),"0")</f>
        <v>SSV Conditioning</v>
      </c>
      <c r="M1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" s="62" t="str">
        <f>IF(OR(TableToday[[#This Row],[Department]]="SSV TREATPACK", TableToday[[#This Row],[Department]]="LSV TREATPACK"),8,"")</f>
        <v/>
      </c>
    </row>
    <row r="13" spans="1:14">
      <c r="A13" s="4" t="str">
        <f t="shared" si="0"/>
        <v>MECO</v>
      </c>
      <c r="B13" s="93" t="s">
        <v>271</v>
      </c>
      <c r="C13" s="90">
        <v>1002301022</v>
      </c>
      <c r="D13" s="91">
        <v>96</v>
      </c>
      <c r="E13" s="93" t="s">
        <v>14</v>
      </c>
      <c r="F13" s="66">
        <v>46273</v>
      </c>
      <c r="G13" s="67" t="s">
        <v>267</v>
      </c>
      <c r="H13" s="68"/>
      <c r="I13" s="12" t="str">
        <f t="shared" si="1"/>
        <v>NEW</v>
      </c>
      <c r="J13" s="5" t="str">
        <f>IFERROR(VLOOKUP(TableToday[[#This Row],[Prod. Order]],Components!A:B,2,FALSE), "0")</f>
        <v>SSVLN6</v>
      </c>
      <c r="K13" s="5" t="str">
        <f>IFERROR(VLOOKUP(TableToday[[#This Row],[WorkCenter]],'Resource Info'!A:B,2,FALSE), "0")</f>
        <v>SSV Line 6</v>
      </c>
      <c r="L13" s="6" t="str">
        <f>IFERROR(VLOOKUP(TableToday[[#This Row],[Pack Line]],'Resource Info'!B:C,2,FALSE),"0")</f>
        <v>SSV Conditioning</v>
      </c>
      <c r="M1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" s="62" t="str">
        <f>IF(OR(TableToday[[#This Row],[Department]]="SSV TREATPACK", TableToday[[#This Row],[Department]]="LSV TREATPACK"),8,"")</f>
        <v/>
      </c>
    </row>
    <row r="14" spans="1:14">
      <c r="A14" s="4" t="str">
        <f t="shared" si="0"/>
        <v>MECO</v>
      </c>
      <c r="B14" s="93" t="s">
        <v>271</v>
      </c>
      <c r="C14" s="90">
        <v>1002301023</v>
      </c>
      <c r="D14" s="91">
        <v>89</v>
      </c>
      <c r="E14" s="93" t="s">
        <v>14</v>
      </c>
      <c r="F14" s="66">
        <v>46274</v>
      </c>
      <c r="G14" s="67" t="s">
        <v>267</v>
      </c>
      <c r="H14" s="68"/>
      <c r="I14" s="12" t="str">
        <f t="shared" si="1"/>
        <v>NEW</v>
      </c>
      <c r="J14" s="5" t="str">
        <f>IFERROR(VLOOKUP(TableToday[[#This Row],[Prod. Order]],Components!A:B,2,FALSE), "0")</f>
        <v>SSVLN6</v>
      </c>
      <c r="K14" s="5" t="str">
        <f>IFERROR(VLOOKUP(TableToday[[#This Row],[WorkCenter]],'Resource Info'!A:B,2,FALSE), "0")</f>
        <v>SSV Line 6</v>
      </c>
      <c r="L14" s="6" t="str">
        <f>IFERROR(VLOOKUP(TableToday[[#This Row],[Pack Line]],'Resource Info'!B:C,2,FALSE),"0")</f>
        <v>SSV Conditioning</v>
      </c>
      <c r="M1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" s="62" t="str">
        <f>IF(OR(TableToday[[#This Row],[Department]]="SSV TREATPACK", TableToday[[#This Row],[Department]]="LSV TREATPACK"),8,"")</f>
        <v/>
      </c>
    </row>
    <row r="15" spans="1:14">
      <c r="A15" s="4" t="str">
        <f t="shared" si="0"/>
        <v>MECO</v>
      </c>
      <c r="B15" s="93" t="s">
        <v>271</v>
      </c>
      <c r="C15" s="90">
        <v>1002302359</v>
      </c>
      <c r="D15" s="91">
        <v>85</v>
      </c>
      <c r="E15" s="93" t="s">
        <v>14</v>
      </c>
      <c r="F15" s="66">
        <v>46289</v>
      </c>
      <c r="G15" s="67" t="s">
        <v>267</v>
      </c>
      <c r="H15" s="68"/>
      <c r="I15" s="12" t="str">
        <f t="shared" si="1"/>
        <v>NEW</v>
      </c>
      <c r="J15" s="5" t="str">
        <f>IFERROR(VLOOKUP(TableToday[[#This Row],[Prod. Order]],Components!A:B,2,FALSE), "0")</f>
        <v>SSVLN6</v>
      </c>
      <c r="K15" s="5" t="str">
        <f>IFERROR(VLOOKUP(TableToday[[#This Row],[WorkCenter]],'Resource Info'!A:B,2,FALSE), "0")</f>
        <v>SSV Line 6</v>
      </c>
      <c r="L15" s="6" t="str">
        <f>IFERROR(VLOOKUP(TableToday[[#This Row],[Pack Line]],'Resource Info'!B:C,2,FALSE),"0")</f>
        <v>SSV Conditioning</v>
      </c>
      <c r="M1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" s="62" t="str">
        <f>IF(OR(TableToday[[#This Row],[Department]]="SSV TREATPACK", TableToday[[#This Row],[Department]]="LSV TREATPACK"),8,"")</f>
        <v/>
      </c>
    </row>
    <row r="16" spans="1:14">
      <c r="A16" s="4" t="str">
        <f t="shared" si="0"/>
        <v>MECO</v>
      </c>
      <c r="B16" s="93" t="s">
        <v>271</v>
      </c>
      <c r="C16" s="90">
        <v>1002302361</v>
      </c>
      <c r="D16" s="91">
        <v>80.463999999999999</v>
      </c>
      <c r="E16" s="93" t="s">
        <v>14</v>
      </c>
      <c r="F16" s="66">
        <v>46289</v>
      </c>
      <c r="G16" s="67" t="s">
        <v>267</v>
      </c>
      <c r="H16" s="68"/>
      <c r="I16" s="12" t="str">
        <f t="shared" si="1"/>
        <v>NEW</v>
      </c>
      <c r="J16" s="5" t="str">
        <f>IFERROR(VLOOKUP(TableToday[[#This Row],[Prod. Order]],Components!A:B,2,FALSE), "0")</f>
        <v>SSVLN6</v>
      </c>
      <c r="K16" s="5" t="str">
        <f>IFERROR(VLOOKUP(TableToday[[#This Row],[WorkCenter]],'Resource Info'!A:B,2,FALSE), "0")</f>
        <v>SSV Line 6</v>
      </c>
      <c r="L16" s="6" t="str">
        <f>IFERROR(VLOOKUP(TableToday[[#This Row],[Pack Line]],'Resource Info'!B:C,2,FALSE),"0")</f>
        <v>SSV Conditioning</v>
      </c>
      <c r="M1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" s="62" t="str">
        <f>IF(OR(TableToday[[#This Row],[Department]]="SSV TREATPACK", TableToday[[#This Row],[Department]]="LSV TREATPACK"),8,"")</f>
        <v/>
      </c>
    </row>
    <row r="17" spans="1:14">
      <c r="A17" s="4" t="str">
        <f t="shared" si="0"/>
        <v>MECO</v>
      </c>
      <c r="B17" s="93" t="s">
        <v>271</v>
      </c>
      <c r="C17" s="90">
        <v>1002302362</v>
      </c>
      <c r="D17" s="91">
        <v>169</v>
      </c>
      <c r="E17" s="93" t="s">
        <v>14</v>
      </c>
      <c r="F17" s="66">
        <v>46289</v>
      </c>
      <c r="G17" s="67" t="s">
        <v>267</v>
      </c>
      <c r="H17" s="68"/>
      <c r="I17" s="12" t="str">
        <f t="shared" si="1"/>
        <v>NEW</v>
      </c>
      <c r="J17" s="5" t="str">
        <f>IFERROR(VLOOKUP(TableToday[[#This Row],[Prod. Order]],Components!A:B,2,FALSE), "0")</f>
        <v>SSVLN6</v>
      </c>
      <c r="K17" s="5" t="str">
        <f>IFERROR(VLOOKUP(TableToday[[#This Row],[WorkCenter]],'Resource Info'!A:B,2,FALSE), "0")</f>
        <v>SSV Line 6</v>
      </c>
      <c r="L17" s="6" t="str">
        <f>IFERROR(VLOOKUP(TableToday[[#This Row],[Pack Line]],'Resource Info'!B:C,2,FALSE),"0")</f>
        <v>SSV Conditioning</v>
      </c>
      <c r="M1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" s="62" t="str">
        <f>IF(OR(TableToday[[#This Row],[Department]]="SSV TREATPACK", TableToday[[#This Row],[Department]]="LSV TREATPACK"),8,"")</f>
        <v/>
      </c>
    </row>
    <row r="18" spans="1:14">
      <c r="A18" s="4" t="str">
        <f t="shared" si="0"/>
        <v>SQCO</v>
      </c>
      <c r="B18" s="93" t="s">
        <v>341</v>
      </c>
      <c r="C18" s="90">
        <v>1002307492</v>
      </c>
      <c r="D18" s="91">
        <v>21.82</v>
      </c>
      <c r="E18" s="93" t="s">
        <v>14</v>
      </c>
      <c r="F18" s="66">
        <v>46300</v>
      </c>
      <c r="G18" s="67" t="s">
        <v>19</v>
      </c>
      <c r="H18" s="68"/>
      <c r="I18" s="12" t="str">
        <f t="shared" si="1"/>
        <v>NEW</v>
      </c>
      <c r="J18" s="5" t="str">
        <f>IFERROR(VLOOKUP(TableToday[[#This Row],[Prod. Order]],Components!A:B,2,FALSE), "0")</f>
        <v>SSVLN5</v>
      </c>
      <c r="K18" s="5" t="str">
        <f>IFERROR(VLOOKUP(TableToday[[#This Row],[WorkCenter]],'Resource Info'!A:B,2,FALSE), "0")</f>
        <v>SSV Line 5</v>
      </c>
      <c r="L18" s="6" t="str">
        <f>IFERROR(VLOOKUP(TableToday[[#This Row],[Pack Line]],'Resource Info'!B:C,2,FALSE),"0")</f>
        <v>SSV Conditioning</v>
      </c>
      <c r="M1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" s="62" t="str">
        <f>IF(OR(TableToday[[#This Row],[Department]]="SSV TREATPACK", TableToday[[#This Row],[Department]]="LSV TREATPACK"),8,"")</f>
        <v/>
      </c>
    </row>
    <row r="19" spans="1:14">
      <c r="A19" s="4" t="str">
        <f t="shared" si="0"/>
        <v>BECO</v>
      </c>
      <c r="B19" s="93" t="s">
        <v>359</v>
      </c>
      <c r="C19" s="90">
        <v>1002303195</v>
      </c>
      <c r="D19" s="91">
        <v>10820</v>
      </c>
      <c r="E19" s="93" t="s">
        <v>14</v>
      </c>
      <c r="F19" s="66">
        <v>46384</v>
      </c>
      <c r="G19" s="67" t="s">
        <v>360</v>
      </c>
      <c r="H19" s="68">
        <v>8</v>
      </c>
      <c r="I19" s="12" t="str">
        <f t="shared" si="1"/>
        <v>NEW</v>
      </c>
      <c r="J19" s="5" t="str">
        <f>IFERROR(VLOOKUP(TableToday[[#This Row],[Prod. Order]],Components!A:B,2,FALSE), "0")</f>
        <v>LSVLN2</v>
      </c>
      <c r="K19" s="5" t="str">
        <f>IFERROR(VLOOKUP(TableToday[[#This Row],[WorkCenter]],'Resource Info'!A:B,2,FALSE), "0")</f>
        <v>LSV Line 2</v>
      </c>
      <c r="L19" s="6" t="str">
        <f>IFERROR(VLOOKUP(TableToday[[#This Row],[Pack Line]],'Resource Info'!B:C,2,FALSE),"0")</f>
        <v>LSV Conditioning</v>
      </c>
      <c r="M1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" s="62" t="str">
        <f>IF(OR(TableToday[[#This Row],[Department]]="SSV TREATPACK", TableToday[[#This Row],[Department]]="LSV TREATPACK"),8,"")</f>
        <v/>
      </c>
    </row>
    <row r="20" spans="1:14">
      <c r="A20" s="4" t="str">
        <f t="shared" si="0"/>
        <v>PECO</v>
      </c>
      <c r="B20" s="93" t="s">
        <v>245</v>
      </c>
      <c r="C20" s="90">
        <v>1002266351</v>
      </c>
      <c r="D20" s="91">
        <v>23170</v>
      </c>
      <c r="E20" s="93" t="s">
        <v>14</v>
      </c>
      <c r="F20" s="66">
        <v>46265</v>
      </c>
      <c r="G20" s="67" t="s">
        <v>246</v>
      </c>
      <c r="H20" s="68">
        <v>7</v>
      </c>
      <c r="I20" s="12" t="str">
        <f t="shared" si="1"/>
        <v>NEW</v>
      </c>
      <c r="J20" s="5" t="str">
        <f>IFERROR(VLOOKUP(TableToday[[#This Row],[Prod. Order]],Components!A:B,2,FALSE), "0")</f>
        <v>LSVLN1</v>
      </c>
      <c r="K20" s="5" t="str">
        <f>IFERROR(VLOOKUP(TableToday[[#This Row],[WorkCenter]],'Resource Info'!A:B,2,FALSE), "0")</f>
        <v>LSV Line 1</v>
      </c>
      <c r="L20" s="6" t="str">
        <f>IFERROR(VLOOKUP(TableToday[[#This Row],[Pack Line]],'Resource Info'!B:C,2,FALSE),"0")</f>
        <v>LSV Conditioning</v>
      </c>
      <c r="M2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0" s="62" t="str">
        <f>IF(OR(TableToday[[#This Row],[Department]]="SSV TREATPACK", TableToday[[#This Row],[Department]]="LSV TREATPACK"),8,"")</f>
        <v/>
      </c>
    </row>
    <row r="21" spans="1:14">
      <c r="A21" s="4" t="str">
        <f t="shared" si="0"/>
        <v>PECO</v>
      </c>
      <c r="B21" s="93" t="s">
        <v>245</v>
      </c>
      <c r="C21" s="90">
        <v>1002266886</v>
      </c>
      <c r="D21" s="91">
        <v>35230</v>
      </c>
      <c r="E21" s="93" t="s">
        <v>14</v>
      </c>
      <c r="F21" s="66">
        <v>46265</v>
      </c>
      <c r="G21" s="67" t="s">
        <v>246</v>
      </c>
      <c r="H21" s="68">
        <v>7</v>
      </c>
      <c r="I21" s="12" t="str">
        <f t="shared" si="1"/>
        <v>NEW</v>
      </c>
      <c r="J21" s="5" t="str">
        <f>IFERROR(VLOOKUP(TableToday[[#This Row],[Prod. Order]],Components!A:B,2,FALSE), "0")</f>
        <v>LSVLN1</v>
      </c>
      <c r="K21" s="5" t="str">
        <f>IFERROR(VLOOKUP(TableToday[[#This Row],[WorkCenter]],'Resource Info'!A:B,2,FALSE), "0")</f>
        <v>LSV Line 1</v>
      </c>
      <c r="L21" s="6" t="str">
        <f>IFERROR(VLOOKUP(TableToday[[#This Row],[Pack Line]],'Resource Info'!B:C,2,FALSE),"0")</f>
        <v>LSV Conditioning</v>
      </c>
      <c r="M2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1" s="62" t="str">
        <f>IF(OR(TableToday[[#This Row],[Department]]="SSV TREATPACK", TableToday[[#This Row],[Department]]="LSV TREATPACK"),8,"")</f>
        <v/>
      </c>
    </row>
    <row r="22" spans="1:14">
      <c r="A22" s="4" t="str">
        <f t="shared" si="0"/>
        <v>PECO</v>
      </c>
      <c r="B22" s="93" t="s">
        <v>245</v>
      </c>
      <c r="C22" s="90">
        <v>1002266889</v>
      </c>
      <c r="D22" s="91">
        <v>36310</v>
      </c>
      <c r="E22" s="93" t="s">
        <v>14</v>
      </c>
      <c r="F22" s="66">
        <v>46265</v>
      </c>
      <c r="G22" s="67" t="s">
        <v>246</v>
      </c>
      <c r="H22" s="68">
        <v>7</v>
      </c>
      <c r="I22" s="12" t="str">
        <f t="shared" si="1"/>
        <v>NEW</v>
      </c>
      <c r="J22" s="5" t="str">
        <f>IFERROR(VLOOKUP(TableToday[[#This Row],[Prod. Order]],Components!A:B,2,FALSE), "0")</f>
        <v>LSVLN1</v>
      </c>
      <c r="K22" s="5" t="str">
        <f>IFERROR(VLOOKUP(TableToday[[#This Row],[WorkCenter]],'Resource Info'!A:B,2,FALSE), "0")</f>
        <v>LSV Line 1</v>
      </c>
      <c r="L22" s="6" t="str">
        <f>IFERROR(VLOOKUP(TableToday[[#This Row],[Pack Line]],'Resource Info'!B:C,2,FALSE),"0")</f>
        <v>LSV Conditioning</v>
      </c>
      <c r="M2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2" s="62" t="str">
        <f>IF(OR(TableToday[[#This Row],[Department]]="SSV TREATPACK", TableToday[[#This Row],[Department]]="LSV TREATPACK"),8,"")</f>
        <v/>
      </c>
    </row>
    <row r="23" spans="1:14">
      <c r="A23" s="4" t="str">
        <f t="shared" si="0"/>
        <v>PECO</v>
      </c>
      <c r="B23" s="93" t="s">
        <v>245</v>
      </c>
      <c r="C23" s="90">
        <v>1002266350</v>
      </c>
      <c r="D23" s="91">
        <v>3390</v>
      </c>
      <c r="E23" s="93" t="s">
        <v>14</v>
      </c>
      <c r="F23" s="66">
        <v>46274</v>
      </c>
      <c r="G23" s="67" t="s">
        <v>246</v>
      </c>
      <c r="H23" s="68">
        <v>7</v>
      </c>
      <c r="I23" s="12" t="str">
        <f t="shared" si="1"/>
        <v>NEW</v>
      </c>
      <c r="J23" s="5" t="str">
        <f>IFERROR(VLOOKUP(TableToday[[#This Row],[Prod. Order]],Components!A:B,2,FALSE), "0")</f>
        <v>LSVLN1</v>
      </c>
      <c r="K23" s="5" t="str">
        <f>IFERROR(VLOOKUP(TableToday[[#This Row],[WorkCenter]],'Resource Info'!A:B,2,FALSE), "0")</f>
        <v>LSV Line 1</v>
      </c>
      <c r="L23" s="6" t="str">
        <f>IFERROR(VLOOKUP(TableToday[[#This Row],[Pack Line]],'Resource Info'!B:C,2,FALSE),"0")</f>
        <v>LSV Conditioning</v>
      </c>
      <c r="M2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3" s="62" t="str">
        <f>IF(OR(TableToday[[#This Row],[Department]]="SSV TREATPACK", TableToday[[#This Row],[Department]]="LSV TREATPACK"),8,"")</f>
        <v/>
      </c>
    </row>
    <row r="24" spans="1:14">
      <c r="A24" s="4" t="str">
        <f t="shared" si="0"/>
        <v>PECO</v>
      </c>
      <c r="B24" s="93" t="s">
        <v>245</v>
      </c>
      <c r="C24" s="90">
        <v>1002266356</v>
      </c>
      <c r="D24" s="91">
        <v>14930</v>
      </c>
      <c r="E24" s="93" t="s">
        <v>14</v>
      </c>
      <c r="F24" s="66">
        <v>46274</v>
      </c>
      <c r="G24" s="67" t="s">
        <v>246</v>
      </c>
      <c r="H24" s="68">
        <v>7</v>
      </c>
      <c r="I24" s="12" t="str">
        <f t="shared" si="1"/>
        <v>NEW</v>
      </c>
      <c r="J24" s="5" t="str">
        <f>IFERROR(VLOOKUP(TableToday[[#This Row],[Prod. Order]],Components!A:B,2,FALSE), "0")</f>
        <v>LSVLN1</v>
      </c>
      <c r="K24" s="5" t="str">
        <f>IFERROR(VLOOKUP(TableToday[[#This Row],[WorkCenter]],'Resource Info'!A:B,2,FALSE), "0")</f>
        <v>LSV Line 1</v>
      </c>
      <c r="L24" s="6" t="str">
        <f>IFERROR(VLOOKUP(TableToday[[#This Row],[Pack Line]],'Resource Info'!B:C,2,FALSE),"0")</f>
        <v>LSV Conditioning</v>
      </c>
      <c r="M2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4" s="62" t="str">
        <f>IF(OR(TableToday[[#This Row],[Department]]="SSV TREATPACK", TableToday[[#This Row],[Department]]="LSV TREATPACK"),8,"")</f>
        <v/>
      </c>
    </row>
    <row r="25" spans="1:14">
      <c r="A25" s="4" t="str">
        <f t="shared" si="0"/>
        <v>BSCO</v>
      </c>
      <c r="B25" s="93" t="s">
        <v>381</v>
      </c>
      <c r="C25" s="90">
        <v>100028768</v>
      </c>
      <c r="D25" s="91">
        <v>317</v>
      </c>
      <c r="E25" s="93" t="s">
        <v>14</v>
      </c>
      <c r="F25" s="66">
        <v>46314</v>
      </c>
      <c r="G25" s="67" t="s">
        <v>382</v>
      </c>
      <c r="H25" s="68"/>
      <c r="I25" s="12" t="str">
        <f t="shared" si="1"/>
        <v>NEW</v>
      </c>
      <c r="J25" s="5" t="str">
        <f>IFERROR(VLOOKUP(TableToday[[#This Row],[Prod. Order]],Components!A:B,2,FALSE), "0")</f>
        <v>PASSHLTH</v>
      </c>
      <c r="K25" s="5" t="str">
        <f>IFERROR(VLOOKUP(TableToday[[#This Row],[WorkCenter]],'Resource Info'!A:B,2,FALSE), "0")</f>
        <v>Seed Health</v>
      </c>
      <c r="L25" s="6" t="str">
        <f>IFERROR(VLOOKUP(TableToday[[#This Row],[Pack Line]],'Resource Info'!B:C,2,FALSE),"0")</f>
        <v>Seed Health</v>
      </c>
      <c r="M2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5" s="62" t="str">
        <f>IF(OR(TableToday[[#This Row],[Department]]="SSV TREATPACK", TableToday[[#This Row],[Department]]="LSV TREATPACK"),8,"")</f>
        <v/>
      </c>
    </row>
    <row r="26" spans="1:14">
      <c r="A26" s="4" t="str">
        <f t="shared" si="0"/>
        <v>WACO</v>
      </c>
      <c r="B26" s="93" t="s">
        <v>263</v>
      </c>
      <c r="C26" s="90">
        <v>1002298024</v>
      </c>
      <c r="D26" s="91">
        <v>256</v>
      </c>
      <c r="E26" s="93" t="s">
        <v>14</v>
      </c>
      <c r="F26" s="66">
        <v>46266</v>
      </c>
      <c r="G26" s="67" t="s">
        <v>21</v>
      </c>
      <c r="H26" s="68"/>
      <c r="I26" s="12" t="str">
        <f t="shared" si="1"/>
        <v>NEW</v>
      </c>
      <c r="J26" s="5" t="str">
        <f>IFERROR(VLOOKUP(TableToday[[#This Row],[Prod. Order]],Components!A:B,2,FALSE), "0")</f>
        <v>SSVLN3</v>
      </c>
      <c r="K26" s="5" t="str">
        <f>IFERROR(VLOOKUP(TableToday[[#This Row],[WorkCenter]],'Resource Info'!A:B,2,FALSE), "0")</f>
        <v>SSV Line 3</v>
      </c>
      <c r="L26" s="6" t="str">
        <f>IFERROR(VLOOKUP(TableToday[[#This Row],[Pack Line]],'Resource Info'!B:C,2,FALSE),"0")</f>
        <v>SSV Conditioning</v>
      </c>
      <c r="M2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6" s="62" t="str">
        <f>IF(OR(TableToday[[#This Row],[Department]]="SSV TREATPACK", TableToday[[#This Row],[Department]]="LSV TREATPACK"),8,"")</f>
        <v/>
      </c>
    </row>
    <row r="27" spans="1:14">
      <c r="A27" s="4" t="str">
        <f t="shared" si="0"/>
        <v>WCCO</v>
      </c>
      <c r="B27" s="93" t="s">
        <v>383</v>
      </c>
      <c r="C27" s="90">
        <v>100028467</v>
      </c>
      <c r="D27" s="91">
        <v>752.5</v>
      </c>
      <c r="E27" s="93" t="s">
        <v>14</v>
      </c>
      <c r="F27" s="66">
        <v>46311</v>
      </c>
      <c r="G27" s="67" t="s">
        <v>382</v>
      </c>
      <c r="H27" s="68"/>
      <c r="I27" s="12" t="str">
        <f t="shared" si="1"/>
        <v>NEW</v>
      </c>
      <c r="J27" s="5" t="str">
        <f>IFERROR(VLOOKUP(TableToday[[#This Row],[Prod. Order]],Components!A:B,2,FALSE), "0")</f>
        <v>PASSHLTH</v>
      </c>
      <c r="K27" s="5" t="str">
        <f>IFERROR(VLOOKUP(TableToday[[#This Row],[WorkCenter]],'Resource Info'!A:B,2,FALSE), "0")</f>
        <v>Seed Health</v>
      </c>
      <c r="L27" s="6" t="str">
        <f>IFERROR(VLOOKUP(TableToday[[#This Row],[Pack Line]],'Resource Info'!B:C,2,FALSE),"0")</f>
        <v>Seed Health</v>
      </c>
      <c r="M2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7" s="62" t="str">
        <f>IF(OR(TableToday[[#This Row],[Department]]="SSV TREATPACK", TableToday[[#This Row],[Department]]="LSV TREATPACK"),8,"")</f>
        <v/>
      </c>
    </row>
    <row r="28" spans="1:14">
      <c r="A28" s="4" t="str">
        <f t="shared" si="0"/>
        <v>WACO</v>
      </c>
      <c r="B28" s="93" t="s">
        <v>264</v>
      </c>
      <c r="C28" s="90">
        <v>1002303255</v>
      </c>
      <c r="D28" s="91">
        <v>145</v>
      </c>
      <c r="E28" s="93" t="s">
        <v>14</v>
      </c>
      <c r="F28" s="66">
        <v>46290</v>
      </c>
      <c r="G28" s="67" t="s">
        <v>21</v>
      </c>
      <c r="H28" s="68"/>
      <c r="I28" s="12" t="str">
        <f t="shared" si="1"/>
        <v>NEW</v>
      </c>
      <c r="J28" s="5" t="str">
        <f>IFERROR(VLOOKUP(TableToday[[#This Row],[Prod. Order]],Components!A:B,2,FALSE), "0")</f>
        <v>SSVLN6</v>
      </c>
      <c r="K28" s="5" t="str">
        <f>IFERROR(VLOOKUP(TableToday[[#This Row],[WorkCenter]],'Resource Info'!A:B,2,FALSE), "0")</f>
        <v>SSV Line 6</v>
      </c>
      <c r="L28" s="6" t="str">
        <f>IFERROR(VLOOKUP(TableToday[[#This Row],[Pack Line]],'Resource Info'!B:C,2,FALSE),"0")</f>
        <v>SSV Conditioning</v>
      </c>
      <c r="M2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8" s="62" t="str">
        <f>IF(OR(TableToday[[#This Row],[Department]]="SSV TREATPACK", TableToday[[#This Row],[Department]]="LSV TREATPACK"),8,"")</f>
        <v/>
      </c>
    </row>
    <row r="29" spans="1:14">
      <c r="A29" s="4" t="str">
        <f t="shared" si="0"/>
        <v>BRCO</v>
      </c>
      <c r="B29" s="93" t="s">
        <v>258</v>
      </c>
      <c r="C29" s="90">
        <v>100028679</v>
      </c>
      <c r="D29" s="91">
        <v>90</v>
      </c>
      <c r="E29" s="93" t="s">
        <v>14</v>
      </c>
      <c r="F29" s="66">
        <v>46255</v>
      </c>
      <c r="G29" s="67" t="s">
        <v>259</v>
      </c>
      <c r="H29" s="68"/>
      <c r="I29" s="12" t="str">
        <f t="shared" si="1"/>
        <v>NEW</v>
      </c>
      <c r="J29" s="5" t="str">
        <f>IFERROR(VLOOKUP(TableToday[[#This Row],[Prod. Order]],Components!A:B,2,FALSE), "0")</f>
        <v>PASSHLTH</v>
      </c>
      <c r="K29" s="5" t="str">
        <f>IFERROR(VLOOKUP(TableToday[[#This Row],[WorkCenter]],'Resource Info'!A:B,2,FALSE), "0")</f>
        <v>Seed Health</v>
      </c>
      <c r="L29" s="6" t="str">
        <f>IFERROR(VLOOKUP(TableToday[[#This Row],[Pack Line]],'Resource Info'!B:C,2,FALSE),"0")</f>
        <v>Seed Health</v>
      </c>
      <c r="M2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9" s="62" t="str">
        <f>IF(OR(TableToday[[#This Row],[Department]]="SSV TREATPACK", TableToday[[#This Row],[Department]]="LSV TREATPACK"),8,"")</f>
        <v/>
      </c>
    </row>
    <row r="30" spans="1:14">
      <c r="A30" s="4" t="str">
        <f t="shared" si="0"/>
        <v>SQBS</v>
      </c>
      <c r="B30" s="93" t="s">
        <v>329</v>
      </c>
      <c r="C30" s="90">
        <v>1002306428</v>
      </c>
      <c r="D30" s="91">
        <v>25.06</v>
      </c>
      <c r="E30" s="93" t="s">
        <v>14</v>
      </c>
      <c r="F30" s="66">
        <v>46297</v>
      </c>
      <c r="G30" s="67" t="s">
        <v>291</v>
      </c>
      <c r="H30" s="68"/>
      <c r="I30" s="12" t="str">
        <f t="shared" si="1"/>
        <v>NEW</v>
      </c>
      <c r="J30" s="5" t="str">
        <f>IFERROR(VLOOKUP(TableToday[[#This Row],[Prod. Order]],Components!A:B,2,FALSE), "0")</f>
        <v>SSVLN5</v>
      </c>
      <c r="K30" s="5" t="str">
        <f>IFERROR(VLOOKUP(TableToday[[#This Row],[WorkCenter]],'Resource Info'!A:B,2,FALSE), "0")</f>
        <v>SSV Line 5</v>
      </c>
      <c r="L30" s="6" t="str">
        <f>IFERROR(VLOOKUP(TableToday[[#This Row],[Pack Line]],'Resource Info'!B:C,2,FALSE),"0")</f>
        <v>SSV Conditioning</v>
      </c>
      <c r="M3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0" s="62" t="str">
        <f>IF(OR(TableToday[[#This Row],[Department]]="SSV TREATPACK", TableToday[[#This Row],[Department]]="LSV TREATPACK"),8,"")</f>
        <v/>
      </c>
    </row>
    <row r="31" spans="1:14">
      <c r="A31" s="4" t="str">
        <f t="shared" si="0"/>
        <v>WABS</v>
      </c>
      <c r="B31" s="93" t="s">
        <v>281</v>
      </c>
      <c r="C31" s="90">
        <v>1002302356</v>
      </c>
      <c r="D31" s="91">
        <v>31.23</v>
      </c>
      <c r="E31" s="93" t="s">
        <v>14</v>
      </c>
      <c r="F31" s="66">
        <v>46287</v>
      </c>
      <c r="G31" s="67" t="s">
        <v>232</v>
      </c>
      <c r="H31" s="68"/>
      <c r="I31" s="12" t="str">
        <f t="shared" si="1"/>
        <v>NEW</v>
      </c>
      <c r="J31" s="5" t="str">
        <f>IFERROR(VLOOKUP(TableToday[[#This Row],[Prod. Order]],Components!A:B,2,FALSE), "0")</f>
        <v>SSVLN5</v>
      </c>
      <c r="K31" s="5" t="str">
        <f>IFERROR(VLOOKUP(TableToday[[#This Row],[WorkCenter]],'Resource Info'!A:B,2,FALSE), "0")</f>
        <v>SSV Line 5</v>
      </c>
      <c r="L31" s="6" t="str">
        <f>IFERROR(VLOOKUP(TableToday[[#This Row],[Pack Line]],'Resource Info'!B:C,2,FALSE),"0")</f>
        <v>SSV Conditioning</v>
      </c>
      <c r="M3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1" s="62" t="str">
        <f>IF(OR(TableToday[[#This Row],[Department]]="SSV TREATPACK", TableToday[[#This Row],[Department]]="LSV TREATPACK"),8,"")</f>
        <v/>
      </c>
    </row>
    <row r="32" spans="1:14">
      <c r="A32" s="4" t="str">
        <f t="shared" si="0"/>
        <v>WACO</v>
      </c>
      <c r="B32" s="93" t="s">
        <v>301</v>
      </c>
      <c r="C32" s="90">
        <v>300102396</v>
      </c>
      <c r="D32" s="91">
        <v>1200</v>
      </c>
      <c r="E32" s="93" t="s">
        <v>20</v>
      </c>
      <c r="F32" s="66">
        <v>46308</v>
      </c>
      <c r="G32" s="67" t="s">
        <v>302</v>
      </c>
      <c r="H32" s="68"/>
      <c r="I32" s="12" t="str">
        <f t="shared" si="1"/>
        <v>NEW</v>
      </c>
      <c r="J32" s="5" t="str">
        <f>IFERROR(VLOOKUP(TableToday[[#This Row],[Prod. Order]],Components!A:B,2,FALSE), "0")</f>
        <v>SSVRPR5</v>
      </c>
      <c r="K32" s="5" t="str">
        <f>IFERROR(VLOOKUP(TableToday[[#This Row],[WorkCenter]],'Resource Info'!A:B,2,FALSE), "0")</f>
        <v>SSV Line 5 Repair</v>
      </c>
      <c r="L32" s="6" t="str">
        <f>IFERROR(VLOOKUP(TableToday[[#This Row],[Pack Line]],'Resource Info'!B:C,2,FALSE),"0")</f>
        <v>SSV Conditioning</v>
      </c>
      <c r="M3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2" s="62" t="str">
        <f>IF(OR(TableToday[[#This Row],[Department]]="SSV TREATPACK", TableToday[[#This Row],[Department]]="LSV TREATPACK"),8,"")</f>
        <v/>
      </c>
    </row>
    <row r="33" spans="1:14">
      <c r="A33" s="4" t="str">
        <f t="shared" si="0"/>
        <v>WACO</v>
      </c>
      <c r="B33" s="93" t="s">
        <v>301</v>
      </c>
      <c r="C33" s="90">
        <v>300102397</v>
      </c>
      <c r="D33" s="91">
        <v>1750</v>
      </c>
      <c r="E33" s="93" t="s">
        <v>20</v>
      </c>
      <c r="F33" s="66">
        <v>46308</v>
      </c>
      <c r="G33" s="67" t="s">
        <v>302</v>
      </c>
      <c r="H33" s="68"/>
      <c r="I33" s="12" t="str">
        <f t="shared" si="1"/>
        <v>NEW</v>
      </c>
      <c r="J33" s="5" t="str">
        <f>IFERROR(VLOOKUP(TableToday[[#This Row],[Prod. Order]],Components!A:B,2,FALSE), "0")</f>
        <v>SSVRPR5</v>
      </c>
      <c r="K33" s="5" t="str">
        <f>IFERROR(VLOOKUP(TableToday[[#This Row],[WorkCenter]],'Resource Info'!A:B,2,FALSE), "0")</f>
        <v>SSV Line 5 Repair</v>
      </c>
      <c r="L33" s="6" t="str">
        <f>IFERROR(VLOOKUP(TableToday[[#This Row],[Pack Line]],'Resource Info'!B:C,2,FALSE),"0")</f>
        <v>SSV Conditioning</v>
      </c>
      <c r="M3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3" s="62" t="str">
        <f>IF(OR(TableToday[[#This Row],[Department]]="SSV TREATPACK", TableToday[[#This Row],[Department]]="LSV TREATPACK"),8,"")</f>
        <v/>
      </c>
    </row>
    <row r="34" spans="1:14">
      <c r="A34" s="4" t="str">
        <f t="shared" si="0"/>
        <v>WACO</v>
      </c>
      <c r="B34" s="93" t="s">
        <v>265</v>
      </c>
      <c r="C34" s="90">
        <v>1002298227</v>
      </c>
      <c r="D34" s="91">
        <v>1380</v>
      </c>
      <c r="E34" s="93" t="s">
        <v>14</v>
      </c>
      <c r="F34" s="66">
        <v>46266</v>
      </c>
      <c r="G34" s="67" t="s">
        <v>266</v>
      </c>
      <c r="H34" s="68"/>
      <c r="I34" s="12" t="str">
        <f t="shared" si="1"/>
        <v>NEW</v>
      </c>
      <c r="J34" s="5" t="str">
        <f>IFERROR(VLOOKUP(TableToday[[#This Row],[Prod. Order]],Components!A:B,2,FALSE), "0")</f>
        <v>SSVLN3</v>
      </c>
      <c r="K34" s="5" t="str">
        <f>IFERROR(VLOOKUP(TableToday[[#This Row],[WorkCenter]],'Resource Info'!A:B,2,FALSE), "0")</f>
        <v>SSV Line 3</v>
      </c>
      <c r="L34" s="6" t="str">
        <f>IFERROR(VLOOKUP(TableToday[[#This Row],[Pack Line]],'Resource Info'!B:C,2,FALSE),"0")</f>
        <v>SSV Conditioning</v>
      </c>
      <c r="M3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4" s="62" t="str">
        <f>IF(OR(TableToday[[#This Row],[Department]]="SSV TREATPACK", TableToday[[#This Row],[Department]]="LSV TREATPACK"),8,"")</f>
        <v/>
      </c>
    </row>
    <row r="35" spans="1:14">
      <c r="A35" s="4" t="str">
        <f t="shared" si="0"/>
        <v>WACO</v>
      </c>
      <c r="B35" s="93" t="s">
        <v>265</v>
      </c>
      <c r="C35" s="90">
        <v>1002305699</v>
      </c>
      <c r="D35" s="91">
        <v>1600</v>
      </c>
      <c r="E35" s="93" t="s">
        <v>14</v>
      </c>
      <c r="F35" s="66">
        <v>46303</v>
      </c>
      <c r="G35" s="67" t="s">
        <v>266</v>
      </c>
      <c r="H35" s="68"/>
      <c r="I35" s="12" t="str">
        <f t="shared" si="1"/>
        <v>NEW</v>
      </c>
      <c r="J35" s="5" t="str">
        <f>IFERROR(VLOOKUP(TableToday[[#This Row],[Prod. Order]],Components!A:B,2,FALSE), "0")</f>
        <v>SSVLN3</v>
      </c>
      <c r="K35" s="5" t="str">
        <f>IFERROR(VLOOKUP(TableToday[[#This Row],[WorkCenter]],'Resource Info'!A:B,2,FALSE), "0")</f>
        <v>SSV Line 3</v>
      </c>
      <c r="L35" s="6" t="str">
        <f>IFERROR(VLOOKUP(TableToday[[#This Row],[Pack Line]],'Resource Info'!B:C,2,FALSE),"0")</f>
        <v>SSV Conditioning</v>
      </c>
      <c r="M3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5" s="62" t="str">
        <f>IF(OR(TableToday[[#This Row],[Department]]="SSV TREATPACK", TableToday[[#This Row],[Department]]="LSV TREATPACK"),8,"")</f>
        <v/>
      </c>
    </row>
    <row r="36" spans="1:14">
      <c r="A36" s="4" t="str">
        <f t="shared" si="0"/>
        <v>WACO</v>
      </c>
      <c r="B36" s="93" t="s">
        <v>294</v>
      </c>
      <c r="C36" s="90">
        <v>1002303257</v>
      </c>
      <c r="D36" s="91">
        <v>220</v>
      </c>
      <c r="E36" s="93" t="s">
        <v>14</v>
      </c>
      <c r="F36" s="66">
        <v>46290</v>
      </c>
      <c r="G36" s="67" t="s">
        <v>21</v>
      </c>
      <c r="H36" s="68"/>
      <c r="I36" s="12" t="str">
        <f t="shared" si="1"/>
        <v>NEW</v>
      </c>
      <c r="J36" s="5" t="str">
        <f>IFERROR(VLOOKUP(TableToday[[#This Row],[Prod. Order]],Components!A:B,2,FALSE), "0")</f>
        <v>SSVLN3</v>
      </c>
      <c r="K36" s="5" t="str">
        <f>IFERROR(VLOOKUP(TableToday[[#This Row],[WorkCenter]],'Resource Info'!A:B,2,FALSE), "0")</f>
        <v>SSV Line 3</v>
      </c>
      <c r="L36" s="6" t="str">
        <f>IFERROR(VLOOKUP(TableToday[[#This Row],[Pack Line]],'Resource Info'!B:C,2,FALSE),"0")</f>
        <v>SSV Conditioning</v>
      </c>
      <c r="M3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6" s="62" t="str">
        <f>IF(OR(TableToday[[#This Row],[Department]]="SSV TREATPACK", TableToday[[#This Row],[Department]]="LSV TREATPACK"),8,"")</f>
        <v/>
      </c>
    </row>
    <row r="37" spans="1:14">
      <c r="A37" s="4" t="str">
        <f t="shared" si="0"/>
        <v>WACO</v>
      </c>
      <c r="B37" s="93" t="s">
        <v>294</v>
      </c>
      <c r="C37" s="90">
        <v>1002305700</v>
      </c>
      <c r="D37" s="91">
        <v>175</v>
      </c>
      <c r="E37" s="93" t="s">
        <v>14</v>
      </c>
      <c r="F37" s="66">
        <v>46303</v>
      </c>
      <c r="G37" s="67" t="s">
        <v>21</v>
      </c>
      <c r="H37" s="68"/>
      <c r="I37" s="12" t="str">
        <f t="shared" si="1"/>
        <v>NEW</v>
      </c>
      <c r="J37" s="5" t="str">
        <f>IFERROR(VLOOKUP(TableToday[[#This Row],[Prod. Order]],Components!A:B,2,FALSE), "0")</f>
        <v>SSVLN6</v>
      </c>
      <c r="K37" s="5" t="str">
        <f>IFERROR(VLOOKUP(TableToday[[#This Row],[WorkCenter]],'Resource Info'!A:B,2,FALSE), "0")</f>
        <v>SSV Line 6</v>
      </c>
      <c r="L37" s="6" t="str">
        <f>IFERROR(VLOOKUP(TableToday[[#This Row],[Pack Line]],'Resource Info'!B:C,2,FALSE),"0")</f>
        <v>SSV Conditioning</v>
      </c>
      <c r="M3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7" s="62" t="str">
        <f>IF(OR(TableToday[[#This Row],[Department]]="SSV TREATPACK", TableToday[[#This Row],[Department]]="LSV TREATPACK"),8,"")</f>
        <v/>
      </c>
    </row>
    <row r="38" spans="1:14">
      <c r="A38" s="4" t="str">
        <f t="shared" si="0"/>
        <v>SQBS</v>
      </c>
      <c r="B38" s="93" t="s">
        <v>330</v>
      </c>
      <c r="C38" s="90">
        <v>1002306427</v>
      </c>
      <c r="D38" s="91">
        <v>39.08</v>
      </c>
      <c r="E38" s="93" t="s">
        <v>14</v>
      </c>
      <c r="F38" s="66">
        <v>46297</v>
      </c>
      <c r="G38" s="67" t="s">
        <v>291</v>
      </c>
      <c r="H38" s="68"/>
      <c r="I38" s="12" t="str">
        <f t="shared" si="1"/>
        <v>NEW</v>
      </c>
      <c r="J38" s="5" t="str">
        <f>IFERROR(VLOOKUP(TableToday[[#This Row],[Prod. Order]],Components!A:B,2,FALSE), "0")</f>
        <v>SSVLN5</v>
      </c>
      <c r="K38" s="5" t="str">
        <f>IFERROR(VLOOKUP(TableToday[[#This Row],[WorkCenter]],'Resource Info'!A:B,2,FALSE), "0")</f>
        <v>SSV Line 5</v>
      </c>
      <c r="L38" s="6" t="str">
        <f>IFERROR(VLOOKUP(TableToday[[#This Row],[Pack Line]],'Resource Info'!B:C,2,FALSE),"0")</f>
        <v>SSV Conditioning</v>
      </c>
      <c r="M3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8" s="62" t="str">
        <f>IF(OR(TableToday[[#This Row],[Department]]="SSV TREATPACK", TableToday[[#This Row],[Department]]="LSV TREATPACK"),8,"")</f>
        <v/>
      </c>
    </row>
    <row r="39" spans="1:14">
      <c r="A39" s="4" t="str">
        <f t="shared" si="0"/>
        <v>SQBS</v>
      </c>
      <c r="B39" s="93" t="s">
        <v>331</v>
      </c>
      <c r="C39" s="90">
        <v>1002306426</v>
      </c>
      <c r="D39" s="91">
        <v>38.79</v>
      </c>
      <c r="E39" s="93" t="s">
        <v>14</v>
      </c>
      <c r="F39" s="66">
        <v>46296</v>
      </c>
      <c r="G39" s="67" t="s">
        <v>291</v>
      </c>
      <c r="H39" s="68"/>
      <c r="I39" s="12" t="str">
        <f t="shared" si="1"/>
        <v>NEW</v>
      </c>
      <c r="J39" s="5" t="str">
        <f>IFERROR(VLOOKUP(TableToday[[#This Row],[Prod. Order]],Components!A:B,2,FALSE), "0")</f>
        <v>SSVLN5</v>
      </c>
      <c r="K39" s="5" t="str">
        <f>IFERROR(VLOOKUP(TableToday[[#This Row],[WorkCenter]],'Resource Info'!A:B,2,FALSE), "0")</f>
        <v>SSV Line 5</v>
      </c>
      <c r="L39" s="6" t="str">
        <f>IFERROR(VLOOKUP(TableToday[[#This Row],[Pack Line]],'Resource Info'!B:C,2,FALSE),"0")</f>
        <v>SSV Conditioning</v>
      </c>
      <c r="M3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39" s="62" t="str">
        <f>IF(OR(TableToday[[#This Row],[Department]]="SSV TREATPACK", TableToday[[#This Row],[Department]]="LSV TREATPACK"),8,"")</f>
        <v/>
      </c>
    </row>
    <row r="40" spans="1:14">
      <c r="A40" s="4" t="str">
        <f t="shared" si="0"/>
        <v>SQBS</v>
      </c>
      <c r="B40" s="93" t="s">
        <v>384</v>
      </c>
      <c r="C40" s="90">
        <v>1002309549</v>
      </c>
      <c r="D40" s="91">
        <v>12.06</v>
      </c>
      <c r="E40" s="93" t="s">
        <v>14</v>
      </c>
      <c r="F40" s="66">
        <v>46304</v>
      </c>
      <c r="G40" s="67" t="s">
        <v>291</v>
      </c>
      <c r="H40" s="68"/>
      <c r="I40" s="12" t="str">
        <f t="shared" si="1"/>
        <v>NEW</v>
      </c>
      <c r="J40" s="5" t="str">
        <f>IFERROR(VLOOKUP(TableToday[[#This Row],[Prod. Order]],Components!A:B,2,FALSE), "0")</f>
        <v>SSVLN5</v>
      </c>
      <c r="K40" s="5" t="str">
        <f>IFERROR(VLOOKUP(TableToday[[#This Row],[WorkCenter]],'Resource Info'!A:B,2,FALSE), "0")</f>
        <v>SSV Line 5</v>
      </c>
      <c r="L40" s="6" t="str">
        <f>IFERROR(VLOOKUP(TableToday[[#This Row],[Pack Line]],'Resource Info'!B:C,2,FALSE),"0")</f>
        <v>SSV Conditioning</v>
      </c>
      <c r="M4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0" s="62" t="str">
        <f>IF(OR(TableToday[[#This Row],[Department]]="SSV TREATPACK", TableToday[[#This Row],[Department]]="LSV TREATPACK"),8,"")</f>
        <v/>
      </c>
    </row>
    <row r="41" spans="1:14">
      <c r="A41" s="4" t="str">
        <f t="shared" si="0"/>
        <v>SQCO</v>
      </c>
      <c r="B41" s="93" t="s">
        <v>272</v>
      </c>
      <c r="C41" s="90">
        <v>1002299671</v>
      </c>
      <c r="D41" s="91">
        <v>260.5</v>
      </c>
      <c r="E41" s="93" t="s">
        <v>14</v>
      </c>
      <c r="F41" s="66">
        <v>46269</v>
      </c>
      <c r="G41" s="67" t="s">
        <v>19</v>
      </c>
      <c r="H41" s="68"/>
      <c r="I41" s="12" t="str">
        <f t="shared" si="1"/>
        <v>NEW</v>
      </c>
      <c r="J41" s="5" t="str">
        <f>IFERROR(VLOOKUP(TableToday[[#This Row],[Prod. Order]],Components!A:B,2,FALSE), "0")</f>
        <v>SSVLN3</v>
      </c>
      <c r="K41" s="5" t="str">
        <f>IFERROR(VLOOKUP(TableToday[[#This Row],[WorkCenter]],'Resource Info'!A:B,2,FALSE), "0")</f>
        <v>SSV Line 3</v>
      </c>
      <c r="L41" s="6" t="str">
        <f>IFERROR(VLOOKUP(TableToday[[#This Row],[Pack Line]],'Resource Info'!B:C,2,FALSE),"0")</f>
        <v>SSV Conditioning</v>
      </c>
      <c r="M4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1" s="62" t="str">
        <f>IF(OR(TableToday[[#This Row],[Department]]="SSV TREATPACK", TableToday[[#This Row],[Department]]="LSV TREATPACK"),8,"")</f>
        <v/>
      </c>
    </row>
    <row r="42" spans="1:14">
      <c r="A42" s="4" t="str">
        <f t="shared" si="0"/>
        <v>SQCO</v>
      </c>
      <c r="B42" s="93" t="s">
        <v>272</v>
      </c>
      <c r="C42" s="90">
        <v>1002299673</v>
      </c>
      <c r="D42" s="91">
        <v>58.5</v>
      </c>
      <c r="E42" s="93" t="s">
        <v>14</v>
      </c>
      <c r="F42" s="66">
        <v>46279</v>
      </c>
      <c r="G42" s="67" t="s">
        <v>19</v>
      </c>
      <c r="H42" s="68"/>
      <c r="I42" s="12" t="str">
        <f t="shared" si="1"/>
        <v>NEW</v>
      </c>
      <c r="J42" s="5" t="str">
        <f>IFERROR(VLOOKUP(TableToday[[#This Row],[Prod. Order]],Components!A:B,2,FALSE), "0")</f>
        <v>SSVLN6</v>
      </c>
      <c r="K42" s="5" t="str">
        <f>IFERROR(VLOOKUP(TableToday[[#This Row],[WorkCenter]],'Resource Info'!A:B,2,FALSE), "0")</f>
        <v>SSV Line 6</v>
      </c>
      <c r="L42" s="6" t="str">
        <f>IFERROR(VLOOKUP(TableToday[[#This Row],[Pack Line]],'Resource Info'!B:C,2,FALSE),"0")</f>
        <v>SSV Conditioning</v>
      </c>
      <c r="M4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2" s="62" t="str">
        <f>IF(OR(TableToday[[#This Row],[Department]]="SSV TREATPACK", TableToday[[#This Row],[Department]]="LSV TREATPACK"),8,"")</f>
        <v/>
      </c>
    </row>
    <row r="43" spans="1:14">
      <c r="A43" s="4" t="str">
        <f t="shared" si="0"/>
        <v>SQCO</v>
      </c>
      <c r="B43" s="93" t="s">
        <v>272</v>
      </c>
      <c r="C43" s="90">
        <v>1002307491</v>
      </c>
      <c r="D43" s="91">
        <v>97.5</v>
      </c>
      <c r="E43" s="93" t="s">
        <v>14</v>
      </c>
      <c r="F43" s="66">
        <v>46300</v>
      </c>
      <c r="G43" s="67" t="s">
        <v>19</v>
      </c>
      <c r="H43" s="68"/>
      <c r="I43" s="12" t="str">
        <f t="shared" si="1"/>
        <v>NEW</v>
      </c>
      <c r="J43" s="5" t="str">
        <f>IFERROR(VLOOKUP(TableToday[[#This Row],[Prod. Order]],Components!A:B,2,FALSE), "0")</f>
        <v>SSVLN6</v>
      </c>
      <c r="K43" s="5" t="str">
        <f>IFERROR(VLOOKUP(TableToday[[#This Row],[WorkCenter]],'Resource Info'!A:B,2,FALSE), "0")</f>
        <v>SSV Line 6</v>
      </c>
      <c r="L43" s="6" t="str">
        <f>IFERROR(VLOOKUP(TableToday[[#This Row],[Pack Line]],'Resource Info'!B:C,2,FALSE),"0")</f>
        <v>SSV Conditioning</v>
      </c>
      <c r="M4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3" s="62" t="str">
        <f>IF(OR(TableToday[[#This Row],[Department]]="SSV TREATPACK", TableToday[[#This Row],[Department]]="LSV TREATPACK"),8,"")</f>
        <v/>
      </c>
    </row>
    <row r="44" spans="1:14">
      <c r="A44" s="4" t="str">
        <f t="shared" si="0"/>
        <v>SQCO</v>
      </c>
      <c r="B44" s="93" t="s">
        <v>282</v>
      </c>
      <c r="C44" s="90">
        <v>1002300976</v>
      </c>
      <c r="D44" s="91">
        <v>111.8</v>
      </c>
      <c r="E44" s="93" t="s">
        <v>14</v>
      </c>
      <c r="F44" s="66">
        <v>46279</v>
      </c>
      <c r="G44" s="67" t="s">
        <v>19</v>
      </c>
      <c r="H44" s="68"/>
      <c r="I44" s="12" t="str">
        <f t="shared" si="1"/>
        <v>NEW</v>
      </c>
      <c r="J44" s="5" t="str">
        <f>IFERROR(VLOOKUP(TableToday[[#This Row],[Prod. Order]],Components!A:B,2,FALSE), "0")</f>
        <v>SSVLN6</v>
      </c>
      <c r="K44" s="5" t="str">
        <f>IFERROR(VLOOKUP(TableToday[[#This Row],[WorkCenter]],'Resource Info'!A:B,2,FALSE), "0")</f>
        <v>SSV Line 6</v>
      </c>
      <c r="L44" s="6" t="str">
        <f>IFERROR(VLOOKUP(TableToday[[#This Row],[Pack Line]],'Resource Info'!B:C,2,FALSE),"0")</f>
        <v>SSV Conditioning</v>
      </c>
      <c r="M4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4" s="62" t="str">
        <f>IF(OR(TableToday[[#This Row],[Department]]="SSV TREATPACK", TableToday[[#This Row],[Department]]="LSV TREATPACK"),8,"")</f>
        <v/>
      </c>
    </row>
    <row r="45" spans="1:14">
      <c r="A45" s="4" t="str">
        <f t="shared" si="0"/>
        <v>SQCO</v>
      </c>
      <c r="B45" s="93" t="s">
        <v>282</v>
      </c>
      <c r="C45" s="90">
        <v>1002302295</v>
      </c>
      <c r="D45" s="91">
        <v>172.5</v>
      </c>
      <c r="E45" s="93" t="s">
        <v>14</v>
      </c>
      <c r="F45" s="66">
        <v>46281</v>
      </c>
      <c r="G45" s="67" t="s">
        <v>19</v>
      </c>
      <c r="H45" s="68"/>
      <c r="I45" s="12" t="str">
        <f t="shared" si="1"/>
        <v>NEW</v>
      </c>
      <c r="J45" s="5" t="str">
        <f>IFERROR(VLOOKUP(TableToday[[#This Row],[Prod. Order]],Components!A:B,2,FALSE), "0")</f>
        <v>SSVLN6</v>
      </c>
      <c r="K45" s="5" t="str">
        <f>IFERROR(VLOOKUP(TableToday[[#This Row],[WorkCenter]],'Resource Info'!A:B,2,FALSE), "0")</f>
        <v>SSV Line 6</v>
      </c>
      <c r="L45" s="6" t="str">
        <f>IFERROR(VLOOKUP(TableToday[[#This Row],[Pack Line]],'Resource Info'!B:C,2,FALSE),"0")</f>
        <v>SSV Conditioning</v>
      </c>
      <c r="M4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5" s="62" t="str">
        <f>IF(OR(TableToday[[#This Row],[Department]]="SSV TREATPACK", TableToday[[#This Row],[Department]]="LSV TREATPACK"),8,"")</f>
        <v/>
      </c>
    </row>
    <row r="46" spans="1:14">
      <c r="A46" s="4" t="str">
        <f t="shared" si="0"/>
        <v>SQCO</v>
      </c>
      <c r="B46" s="93" t="s">
        <v>256</v>
      </c>
      <c r="C46" s="90">
        <v>1002294970</v>
      </c>
      <c r="D46" s="91">
        <v>330.5</v>
      </c>
      <c r="E46" s="93" t="s">
        <v>14</v>
      </c>
      <c r="F46" s="66">
        <v>46254</v>
      </c>
      <c r="G46" s="67" t="s">
        <v>19</v>
      </c>
      <c r="H46" s="68"/>
      <c r="I46" s="12" t="str">
        <f t="shared" si="1"/>
        <v>NEW</v>
      </c>
      <c r="J46" s="5" t="str">
        <f>IFERROR(VLOOKUP(TableToday[[#This Row],[Prod. Order]],Components!A:B,2,FALSE), "0")</f>
        <v>SSVLN3</v>
      </c>
      <c r="K46" s="5" t="str">
        <f>IFERROR(VLOOKUP(TableToday[[#This Row],[WorkCenter]],'Resource Info'!A:B,2,FALSE), "0")</f>
        <v>SSV Line 3</v>
      </c>
      <c r="L46" s="6" t="str">
        <f>IFERROR(VLOOKUP(TableToday[[#This Row],[Pack Line]],'Resource Info'!B:C,2,FALSE),"0")</f>
        <v>SSV Conditioning</v>
      </c>
      <c r="M4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6" s="62" t="str">
        <f>IF(OR(TableToday[[#This Row],[Department]]="SSV TREATPACK", TableToday[[#This Row],[Department]]="LSV TREATPACK"),8,"")</f>
        <v/>
      </c>
    </row>
    <row r="47" spans="1:14">
      <c r="A47" s="4" t="str">
        <f t="shared" si="0"/>
        <v>SQCO</v>
      </c>
      <c r="B47" s="93" t="s">
        <v>256</v>
      </c>
      <c r="C47" s="90">
        <v>1002300973</v>
      </c>
      <c r="D47" s="91">
        <v>63</v>
      </c>
      <c r="E47" s="93" t="s">
        <v>14</v>
      </c>
      <c r="F47" s="66">
        <v>46279</v>
      </c>
      <c r="G47" s="67" t="s">
        <v>19</v>
      </c>
      <c r="H47" s="68"/>
      <c r="I47" s="12" t="str">
        <f t="shared" si="1"/>
        <v>NEW</v>
      </c>
      <c r="J47" s="5" t="str">
        <f>IFERROR(VLOOKUP(TableToday[[#This Row],[Prod. Order]],Components!A:B,2,FALSE), "0")</f>
        <v>SSVLN6</v>
      </c>
      <c r="K47" s="5" t="str">
        <f>IFERROR(VLOOKUP(TableToday[[#This Row],[WorkCenter]],'Resource Info'!A:B,2,FALSE), "0")</f>
        <v>SSV Line 6</v>
      </c>
      <c r="L47" s="6" t="str">
        <f>IFERROR(VLOOKUP(TableToday[[#This Row],[Pack Line]],'Resource Info'!B:C,2,FALSE),"0")</f>
        <v>SSV Conditioning</v>
      </c>
      <c r="M4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7" s="62" t="str">
        <f>IF(OR(TableToday[[#This Row],[Department]]="SSV TREATPACK", TableToday[[#This Row],[Department]]="LSV TREATPACK"),8,"")</f>
        <v/>
      </c>
    </row>
    <row r="48" spans="1:14">
      <c r="A48" s="4" t="str">
        <f t="shared" si="0"/>
        <v>SQCO</v>
      </c>
      <c r="B48" s="93" t="s">
        <v>256</v>
      </c>
      <c r="C48" s="90">
        <v>1002300974</v>
      </c>
      <c r="D48" s="91">
        <v>211.86500000000001</v>
      </c>
      <c r="E48" s="93" t="s">
        <v>14</v>
      </c>
      <c r="F48" s="66">
        <v>46279</v>
      </c>
      <c r="G48" s="67" t="s">
        <v>19</v>
      </c>
      <c r="H48" s="68"/>
      <c r="I48" s="12" t="str">
        <f t="shared" si="1"/>
        <v>NEW</v>
      </c>
      <c r="J48" s="5" t="str">
        <f>IFERROR(VLOOKUP(TableToday[[#This Row],[Prod. Order]],Components!A:B,2,FALSE), "0")</f>
        <v>SSVLN3</v>
      </c>
      <c r="K48" s="5" t="str">
        <f>IFERROR(VLOOKUP(TableToday[[#This Row],[WorkCenter]],'Resource Info'!A:B,2,FALSE), "0")</f>
        <v>SSV Line 3</v>
      </c>
      <c r="L48" s="6" t="str">
        <f>IFERROR(VLOOKUP(TableToday[[#This Row],[Pack Line]],'Resource Info'!B:C,2,FALSE),"0")</f>
        <v>SSV Conditioning</v>
      </c>
      <c r="M4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8" s="62" t="str">
        <f>IF(OR(TableToday[[#This Row],[Department]]="SSV TREATPACK", TableToday[[#This Row],[Department]]="LSV TREATPACK"),8,"")</f>
        <v/>
      </c>
    </row>
    <row r="49" spans="1:14">
      <c r="A49" s="4" t="str">
        <f t="shared" si="0"/>
        <v>SQCO</v>
      </c>
      <c r="B49" s="93" t="s">
        <v>256</v>
      </c>
      <c r="C49" s="90">
        <v>1002300975</v>
      </c>
      <c r="D49" s="91">
        <v>171.84299999999999</v>
      </c>
      <c r="E49" s="93" t="s">
        <v>14</v>
      </c>
      <c r="F49" s="66">
        <v>46280</v>
      </c>
      <c r="G49" s="67" t="s">
        <v>19</v>
      </c>
      <c r="H49" s="68"/>
      <c r="I49" s="12" t="str">
        <f t="shared" si="1"/>
        <v>NEW</v>
      </c>
      <c r="J49" s="5" t="str">
        <f>IFERROR(VLOOKUP(TableToday[[#This Row],[Prod. Order]],Components!A:B,2,FALSE), "0")</f>
        <v>SSVLN6</v>
      </c>
      <c r="K49" s="5" t="str">
        <f>IFERROR(VLOOKUP(TableToday[[#This Row],[WorkCenter]],'Resource Info'!A:B,2,FALSE), "0")</f>
        <v>SSV Line 6</v>
      </c>
      <c r="L49" s="6" t="str">
        <f>IFERROR(VLOOKUP(TableToday[[#This Row],[Pack Line]],'Resource Info'!B:C,2,FALSE),"0")</f>
        <v>SSV Conditioning</v>
      </c>
      <c r="M4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49" s="62" t="str">
        <f>IF(OR(TableToday[[#This Row],[Department]]="SSV TREATPACK", TableToday[[#This Row],[Department]]="LSV TREATPACK"),8,"")</f>
        <v/>
      </c>
    </row>
    <row r="50" spans="1:14">
      <c r="A50" s="4" t="str">
        <f t="shared" si="0"/>
        <v>PECO</v>
      </c>
      <c r="B50" s="93" t="s">
        <v>342</v>
      </c>
      <c r="C50" s="90">
        <v>1002266120</v>
      </c>
      <c r="D50" s="91">
        <v>15020</v>
      </c>
      <c r="E50" s="93" t="s">
        <v>14</v>
      </c>
      <c r="F50" s="66">
        <v>46233</v>
      </c>
      <c r="G50" s="67" t="s">
        <v>246</v>
      </c>
      <c r="H50" s="68">
        <v>1</v>
      </c>
      <c r="I50" s="12" t="str">
        <f t="shared" si="1"/>
        <v>NEW</v>
      </c>
      <c r="J50" s="5" t="str">
        <f>IFERROR(VLOOKUP(TableToday[[#This Row],[Prod. Order]],Components!A:B,2,FALSE), "0")</f>
        <v>LSVLN2</v>
      </c>
      <c r="K50" s="5" t="str">
        <f>IFERROR(VLOOKUP(TableToday[[#This Row],[WorkCenter]],'Resource Info'!A:B,2,FALSE), "0")</f>
        <v>LSV Line 2</v>
      </c>
      <c r="L50" s="6" t="str">
        <f>IFERROR(VLOOKUP(TableToday[[#This Row],[Pack Line]],'Resource Info'!B:C,2,FALSE),"0")</f>
        <v>LSV Conditioning</v>
      </c>
      <c r="M5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0" s="62" t="str">
        <f>IF(OR(TableToday[[#This Row],[Department]]="SSV TREATPACK", TableToday[[#This Row],[Department]]="LSV TREATPACK"),8,"")</f>
        <v/>
      </c>
    </row>
    <row r="51" spans="1:14">
      <c r="A51" s="4" t="str">
        <f t="shared" si="0"/>
        <v>BEBS</v>
      </c>
      <c r="B51" s="93" t="s">
        <v>361</v>
      </c>
      <c r="C51" s="90">
        <v>1002303218</v>
      </c>
      <c r="D51" s="91">
        <v>1120</v>
      </c>
      <c r="E51" s="93" t="s">
        <v>14</v>
      </c>
      <c r="F51" s="66">
        <v>46384</v>
      </c>
      <c r="G51" s="67" t="s">
        <v>25</v>
      </c>
      <c r="H51" s="68">
        <v>5</v>
      </c>
      <c r="I51" s="12" t="str">
        <f t="shared" si="1"/>
        <v>NEW</v>
      </c>
      <c r="J51" s="5" t="str">
        <f>IFERROR(VLOOKUP(TableToday[[#This Row],[Prod. Order]],Components!A:B,2,FALSE), "0")</f>
        <v>LSVLN2</v>
      </c>
      <c r="K51" s="5" t="str">
        <f>IFERROR(VLOOKUP(TableToday[[#This Row],[WorkCenter]],'Resource Info'!A:B,2,FALSE), "0")</f>
        <v>LSV Line 2</v>
      </c>
      <c r="L51" s="6" t="str">
        <f>IFERROR(VLOOKUP(TableToday[[#This Row],[Pack Line]],'Resource Info'!B:C,2,FALSE),"0")</f>
        <v>LSV Conditioning</v>
      </c>
      <c r="M5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1" s="62" t="str">
        <f>IF(OR(TableToday[[#This Row],[Department]]="SSV TREATPACK", TableToday[[#This Row],[Department]]="LSV TREATPACK"),8,"")</f>
        <v/>
      </c>
    </row>
    <row r="52" spans="1:14">
      <c r="A52" s="4" t="str">
        <f t="shared" si="0"/>
        <v>BEBS</v>
      </c>
      <c r="B52" s="93" t="s">
        <v>362</v>
      </c>
      <c r="C52" s="90">
        <v>1002303211</v>
      </c>
      <c r="D52" s="91">
        <v>28890</v>
      </c>
      <c r="E52" s="93" t="s">
        <v>14</v>
      </c>
      <c r="F52" s="66">
        <v>46384</v>
      </c>
      <c r="G52" s="67" t="s">
        <v>25</v>
      </c>
      <c r="H52" s="68">
        <v>5</v>
      </c>
      <c r="I52" s="12" t="str">
        <f t="shared" si="1"/>
        <v>NEW</v>
      </c>
      <c r="J52" s="5" t="str">
        <f>IFERROR(VLOOKUP(TableToday[[#This Row],[Prod. Order]],Components!A:B,2,FALSE), "0")</f>
        <v>LSVLN2</v>
      </c>
      <c r="K52" s="5" t="str">
        <f>IFERROR(VLOOKUP(TableToday[[#This Row],[WorkCenter]],'Resource Info'!A:B,2,FALSE), "0")</f>
        <v>LSV Line 2</v>
      </c>
      <c r="L52" s="6" t="str">
        <f>IFERROR(VLOOKUP(TableToday[[#This Row],[Pack Line]],'Resource Info'!B:C,2,FALSE),"0")</f>
        <v>LSV Conditioning</v>
      </c>
      <c r="M5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2" s="62" t="str">
        <f>IF(OR(TableToday[[#This Row],[Department]]="SSV TREATPACK", TableToday[[#This Row],[Department]]="LSV TREATPACK"),8,"")</f>
        <v/>
      </c>
    </row>
    <row r="53" spans="1:14">
      <c r="A53" s="4" t="str">
        <f t="shared" si="0"/>
        <v>BEBS</v>
      </c>
      <c r="B53" s="93" t="s">
        <v>362</v>
      </c>
      <c r="C53" s="90">
        <v>1002303213</v>
      </c>
      <c r="D53" s="91">
        <v>24360</v>
      </c>
      <c r="E53" s="93" t="s">
        <v>14</v>
      </c>
      <c r="F53" s="66">
        <v>46384</v>
      </c>
      <c r="G53" s="67" t="s">
        <v>25</v>
      </c>
      <c r="H53" s="68">
        <v>5</v>
      </c>
      <c r="I53" s="12" t="str">
        <f t="shared" si="1"/>
        <v>NEW</v>
      </c>
      <c r="J53" s="5" t="str">
        <f>IFERROR(VLOOKUP(TableToday[[#This Row],[Prod. Order]],Components!A:B,2,FALSE), "0")</f>
        <v>LSVLN2</v>
      </c>
      <c r="K53" s="5" t="str">
        <f>IFERROR(VLOOKUP(TableToday[[#This Row],[WorkCenter]],'Resource Info'!A:B,2,FALSE), "0")</f>
        <v>LSV Line 2</v>
      </c>
      <c r="L53" s="6" t="str">
        <f>IFERROR(VLOOKUP(TableToday[[#This Row],[Pack Line]],'Resource Info'!B:C,2,FALSE),"0")</f>
        <v>LSV Conditioning</v>
      </c>
      <c r="M5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3" s="62" t="str">
        <f>IF(OR(TableToday[[#This Row],[Department]]="SSV TREATPACK", TableToday[[#This Row],[Department]]="LSV TREATPACK"),8,"")</f>
        <v/>
      </c>
    </row>
    <row r="54" spans="1:14">
      <c r="A54" s="4" t="str">
        <f t="shared" si="0"/>
        <v>BEBS</v>
      </c>
      <c r="B54" s="93" t="s">
        <v>362</v>
      </c>
      <c r="C54" s="90">
        <v>1002308866</v>
      </c>
      <c r="D54" s="91">
        <v>2560</v>
      </c>
      <c r="E54" s="93" t="s">
        <v>14</v>
      </c>
      <c r="F54" s="66">
        <v>46384</v>
      </c>
      <c r="G54" s="67" t="s">
        <v>25</v>
      </c>
      <c r="H54" s="68">
        <v>5</v>
      </c>
      <c r="I54" s="12" t="str">
        <f t="shared" si="1"/>
        <v>NEW</v>
      </c>
      <c r="J54" s="5" t="str">
        <f>IFERROR(VLOOKUP(TableToday[[#This Row],[Prod. Order]],Components!A:B,2,FALSE), "0")</f>
        <v>LSVLN2</v>
      </c>
      <c r="K54" s="5" t="str">
        <f>IFERROR(VLOOKUP(TableToday[[#This Row],[WorkCenter]],'Resource Info'!A:B,2,FALSE), "0")</f>
        <v>LSV Line 2</v>
      </c>
      <c r="L54" s="6" t="str">
        <f>IFERROR(VLOOKUP(TableToday[[#This Row],[Pack Line]],'Resource Info'!B:C,2,FALSE),"0")</f>
        <v>LSV Conditioning</v>
      </c>
      <c r="M5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4" s="62" t="str">
        <f>IF(OR(TableToday[[#This Row],[Department]]="SSV TREATPACK", TableToday[[#This Row],[Department]]="LSV TREATPACK"),8,"")</f>
        <v/>
      </c>
    </row>
    <row r="55" spans="1:14">
      <c r="A55" s="4" t="str">
        <f t="shared" si="0"/>
        <v>BECO</v>
      </c>
      <c r="B55" s="93" t="s">
        <v>303</v>
      </c>
      <c r="C55" s="90">
        <v>1002300810</v>
      </c>
      <c r="D55" s="91">
        <v>69250</v>
      </c>
      <c r="E55" s="93" t="s">
        <v>14</v>
      </c>
      <c r="F55" s="66">
        <v>46384</v>
      </c>
      <c r="G55" s="67" t="s">
        <v>304</v>
      </c>
      <c r="H55" s="68">
        <v>5</v>
      </c>
      <c r="I55" s="12" t="str">
        <f t="shared" si="1"/>
        <v>NEW</v>
      </c>
      <c r="J55" s="5" t="str">
        <f>IFERROR(VLOOKUP(TableToday[[#This Row],[Prod. Order]],Components!A:B,2,FALSE), "0")</f>
        <v>LSVLN2</v>
      </c>
      <c r="K55" s="5" t="str">
        <f>IFERROR(VLOOKUP(TableToday[[#This Row],[WorkCenter]],'Resource Info'!A:B,2,FALSE), "0")</f>
        <v>LSV Line 2</v>
      </c>
      <c r="L55" s="6" t="str">
        <f>IFERROR(VLOOKUP(TableToday[[#This Row],[Pack Line]],'Resource Info'!B:C,2,FALSE),"0")</f>
        <v>LSV Conditioning</v>
      </c>
      <c r="M5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5" s="62" t="str">
        <f>IF(OR(TableToday[[#This Row],[Department]]="SSV TREATPACK", TableToday[[#This Row],[Department]]="LSV TREATPACK"),8,"")</f>
        <v/>
      </c>
    </row>
    <row r="56" spans="1:14">
      <c r="A56" s="4" t="str">
        <f t="shared" si="0"/>
        <v>BECO</v>
      </c>
      <c r="B56" s="93" t="s">
        <v>303</v>
      </c>
      <c r="C56" s="90">
        <v>1002300812</v>
      </c>
      <c r="D56" s="91">
        <v>89410</v>
      </c>
      <c r="E56" s="93" t="s">
        <v>14</v>
      </c>
      <c r="F56" s="66">
        <v>46384</v>
      </c>
      <c r="G56" s="67" t="s">
        <v>304</v>
      </c>
      <c r="H56" s="68">
        <v>5</v>
      </c>
      <c r="I56" s="12" t="str">
        <f t="shared" si="1"/>
        <v>NEW</v>
      </c>
      <c r="J56" s="5" t="str">
        <f>IFERROR(VLOOKUP(TableToday[[#This Row],[Prod. Order]],Components!A:B,2,FALSE), "0")</f>
        <v>LSVLN2</v>
      </c>
      <c r="K56" s="5" t="str">
        <f>IFERROR(VLOOKUP(TableToday[[#This Row],[WorkCenter]],'Resource Info'!A:B,2,FALSE), "0")</f>
        <v>LSV Line 2</v>
      </c>
      <c r="L56" s="6" t="str">
        <f>IFERROR(VLOOKUP(TableToday[[#This Row],[Pack Line]],'Resource Info'!B:C,2,FALSE),"0")</f>
        <v>LSV Conditioning</v>
      </c>
      <c r="M5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6" s="62" t="str">
        <f>IF(OR(TableToday[[#This Row],[Department]]="SSV TREATPACK", TableToday[[#This Row],[Department]]="LSV TREATPACK"),8,"")</f>
        <v/>
      </c>
    </row>
    <row r="57" spans="1:14">
      <c r="A57" s="4" t="str">
        <f t="shared" si="0"/>
        <v>BECO</v>
      </c>
      <c r="B57" s="93" t="s">
        <v>303</v>
      </c>
      <c r="C57" s="90">
        <v>1002300813</v>
      </c>
      <c r="D57" s="91">
        <v>14080</v>
      </c>
      <c r="E57" s="93" t="s">
        <v>14</v>
      </c>
      <c r="F57" s="66">
        <v>46384</v>
      </c>
      <c r="G57" s="67" t="s">
        <v>304</v>
      </c>
      <c r="H57" s="68">
        <v>5</v>
      </c>
      <c r="I57" s="12" t="str">
        <f t="shared" si="1"/>
        <v>NEW</v>
      </c>
      <c r="J57" s="5" t="str">
        <f>IFERROR(VLOOKUP(TableToday[[#This Row],[Prod. Order]],Components!A:B,2,FALSE), "0")</f>
        <v>LSVLN2</v>
      </c>
      <c r="K57" s="5" t="str">
        <f>IFERROR(VLOOKUP(TableToday[[#This Row],[WorkCenter]],'Resource Info'!A:B,2,FALSE), "0")</f>
        <v>LSV Line 2</v>
      </c>
      <c r="L57" s="6" t="str">
        <f>IFERROR(VLOOKUP(TableToday[[#This Row],[Pack Line]],'Resource Info'!B:C,2,FALSE),"0")</f>
        <v>LSV Conditioning</v>
      </c>
      <c r="M5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7" s="62" t="str">
        <f>IF(OR(TableToday[[#This Row],[Department]]="SSV TREATPACK", TableToday[[#This Row],[Department]]="LSV TREATPACK"),8,"")</f>
        <v/>
      </c>
    </row>
    <row r="58" spans="1:14">
      <c r="A58" s="4" t="str">
        <f t="shared" si="0"/>
        <v>BECO</v>
      </c>
      <c r="B58" s="93" t="s">
        <v>303</v>
      </c>
      <c r="C58" s="90">
        <v>1002300814</v>
      </c>
      <c r="D58" s="91">
        <v>55510</v>
      </c>
      <c r="E58" s="93" t="s">
        <v>14</v>
      </c>
      <c r="F58" s="66">
        <v>46384</v>
      </c>
      <c r="G58" s="67" t="s">
        <v>304</v>
      </c>
      <c r="H58" s="68">
        <v>5</v>
      </c>
      <c r="I58" s="12" t="str">
        <f t="shared" si="1"/>
        <v>NEW</v>
      </c>
      <c r="J58" s="5" t="str">
        <f>IFERROR(VLOOKUP(TableToday[[#This Row],[Prod. Order]],Components!A:B,2,FALSE), "0")</f>
        <v>LSVLN2</v>
      </c>
      <c r="K58" s="5" t="str">
        <f>IFERROR(VLOOKUP(TableToday[[#This Row],[WorkCenter]],'Resource Info'!A:B,2,FALSE), "0")</f>
        <v>LSV Line 2</v>
      </c>
      <c r="L58" s="6" t="str">
        <f>IFERROR(VLOOKUP(TableToday[[#This Row],[Pack Line]],'Resource Info'!B:C,2,FALSE),"0")</f>
        <v>LSV Conditioning</v>
      </c>
      <c r="M5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8" s="62" t="str">
        <f>IF(OR(TableToday[[#This Row],[Department]]="SSV TREATPACK", TableToday[[#This Row],[Department]]="LSV TREATPACK"),8,"")</f>
        <v/>
      </c>
    </row>
    <row r="59" spans="1:14">
      <c r="A59" s="4" t="str">
        <f t="shared" si="0"/>
        <v>BECO</v>
      </c>
      <c r="B59" s="93" t="s">
        <v>303</v>
      </c>
      <c r="C59" s="90">
        <v>1002300816</v>
      </c>
      <c r="D59" s="91">
        <v>24740</v>
      </c>
      <c r="E59" s="93" t="s">
        <v>14</v>
      </c>
      <c r="F59" s="66">
        <v>46384</v>
      </c>
      <c r="G59" s="67" t="s">
        <v>304</v>
      </c>
      <c r="H59" s="68">
        <v>5</v>
      </c>
      <c r="I59" s="12" t="str">
        <f t="shared" si="1"/>
        <v>NEW</v>
      </c>
      <c r="J59" s="5" t="str">
        <f>IFERROR(VLOOKUP(TableToday[[#This Row],[Prod. Order]],Components!A:B,2,FALSE), "0")</f>
        <v>LSVLN2</v>
      </c>
      <c r="K59" s="5" t="str">
        <f>IFERROR(VLOOKUP(TableToday[[#This Row],[WorkCenter]],'Resource Info'!A:B,2,FALSE), "0")</f>
        <v>LSV Line 2</v>
      </c>
      <c r="L59" s="6" t="str">
        <f>IFERROR(VLOOKUP(TableToday[[#This Row],[Pack Line]],'Resource Info'!B:C,2,FALSE),"0")</f>
        <v>LSV Conditioning</v>
      </c>
      <c r="M5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59" s="62" t="str">
        <f>IF(OR(TableToday[[#This Row],[Department]]="SSV TREATPACK", TableToday[[#This Row],[Department]]="LSV TREATPACK"),8,"")</f>
        <v/>
      </c>
    </row>
    <row r="60" spans="1:14">
      <c r="A60" s="4" t="str">
        <f t="shared" si="0"/>
        <v>BECO</v>
      </c>
      <c r="B60" s="93" t="s">
        <v>303</v>
      </c>
      <c r="C60" s="90">
        <v>1002303189</v>
      </c>
      <c r="D60" s="91">
        <v>99230</v>
      </c>
      <c r="E60" s="93" t="s">
        <v>14</v>
      </c>
      <c r="F60" s="66">
        <v>46384</v>
      </c>
      <c r="G60" s="67" t="s">
        <v>304</v>
      </c>
      <c r="H60" s="68">
        <v>5</v>
      </c>
      <c r="I60" s="12" t="str">
        <f t="shared" si="1"/>
        <v>NEW</v>
      </c>
      <c r="J60" s="5" t="str">
        <f>IFERROR(VLOOKUP(TableToday[[#This Row],[Prod. Order]],Components!A:B,2,FALSE), "0")</f>
        <v>LSVLN2</v>
      </c>
      <c r="K60" s="5" t="str">
        <f>IFERROR(VLOOKUP(TableToday[[#This Row],[WorkCenter]],'Resource Info'!A:B,2,FALSE), "0")</f>
        <v>LSV Line 2</v>
      </c>
      <c r="L60" s="6" t="str">
        <f>IFERROR(VLOOKUP(TableToday[[#This Row],[Pack Line]],'Resource Info'!B:C,2,FALSE),"0")</f>
        <v>LSV Conditioning</v>
      </c>
      <c r="M6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0" s="62" t="str">
        <f>IF(OR(TableToday[[#This Row],[Department]]="SSV TREATPACK", TableToday[[#This Row],[Department]]="LSV TREATPACK"),8,"")</f>
        <v/>
      </c>
    </row>
    <row r="61" spans="1:14">
      <c r="A61" s="4" t="str">
        <f t="shared" si="0"/>
        <v>BECO</v>
      </c>
      <c r="B61" s="93" t="s">
        <v>303</v>
      </c>
      <c r="C61" s="90">
        <v>1002304965</v>
      </c>
      <c r="D61" s="91">
        <v>65160</v>
      </c>
      <c r="E61" s="93" t="s">
        <v>14</v>
      </c>
      <c r="F61" s="66">
        <v>46384</v>
      </c>
      <c r="G61" s="67" t="s">
        <v>304</v>
      </c>
      <c r="H61" s="68">
        <v>5</v>
      </c>
      <c r="I61" s="12" t="str">
        <f t="shared" si="1"/>
        <v>NEW</v>
      </c>
      <c r="J61" s="5" t="str">
        <f>IFERROR(VLOOKUP(TableToday[[#This Row],[Prod. Order]],Components!A:B,2,FALSE), "0")</f>
        <v>LSVLN2</v>
      </c>
      <c r="K61" s="5" t="str">
        <f>IFERROR(VLOOKUP(TableToday[[#This Row],[WorkCenter]],'Resource Info'!A:B,2,FALSE), "0")</f>
        <v>LSV Line 2</v>
      </c>
      <c r="L61" s="6" t="str">
        <f>IFERROR(VLOOKUP(TableToday[[#This Row],[Pack Line]],'Resource Info'!B:C,2,FALSE),"0")</f>
        <v>LSV Conditioning</v>
      </c>
      <c r="M6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1" s="62" t="str">
        <f>IF(OR(TableToday[[#This Row],[Department]]="SSV TREATPACK", TableToday[[#This Row],[Department]]="LSV TREATPACK"),8,"")</f>
        <v/>
      </c>
    </row>
    <row r="62" spans="1:14">
      <c r="A62" s="4" t="str">
        <f t="shared" si="0"/>
        <v>BECO</v>
      </c>
      <c r="B62" s="93" t="s">
        <v>303</v>
      </c>
      <c r="C62" s="90">
        <v>1002305519</v>
      </c>
      <c r="D62" s="91">
        <v>17710</v>
      </c>
      <c r="E62" s="93" t="s">
        <v>14</v>
      </c>
      <c r="F62" s="66">
        <v>46384</v>
      </c>
      <c r="G62" s="67" t="s">
        <v>304</v>
      </c>
      <c r="H62" s="68">
        <v>5</v>
      </c>
      <c r="I62" s="12" t="str">
        <f t="shared" si="1"/>
        <v>NEW</v>
      </c>
      <c r="J62" s="5" t="str">
        <f>IFERROR(VLOOKUP(TableToday[[#This Row],[Prod. Order]],Components!A:B,2,FALSE), "0")</f>
        <v>LSVLN2</v>
      </c>
      <c r="K62" s="5" t="str">
        <f>IFERROR(VLOOKUP(TableToday[[#This Row],[WorkCenter]],'Resource Info'!A:B,2,FALSE), "0")</f>
        <v>LSV Line 2</v>
      </c>
      <c r="L62" s="6" t="str">
        <f>IFERROR(VLOOKUP(TableToday[[#This Row],[Pack Line]],'Resource Info'!B:C,2,FALSE),"0")</f>
        <v>LSV Conditioning</v>
      </c>
      <c r="M6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2" s="62" t="str">
        <f>IF(OR(TableToday[[#This Row],[Department]]="SSV TREATPACK", TableToday[[#This Row],[Department]]="LSV TREATPACK"),8,"")</f>
        <v/>
      </c>
    </row>
    <row r="63" spans="1:14">
      <c r="A63" s="4" t="str">
        <f t="shared" si="0"/>
        <v>BECO</v>
      </c>
      <c r="B63" s="93" t="s">
        <v>313</v>
      </c>
      <c r="C63" s="90">
        <v>1002300819</v>
      </c>
      <c r="D63" s="91">
        <v>61900</v>
      </c>
      <c r="E63" s="93" t="s">
        <v>14</v>
      </c>
      <c r="F63" s="66">
        <v>46384</v>
      </c>
      <c r="G63" s="67" t="s">
        <v>304</v>
      </c>
      <c r="H63" s="68">
        <v>6</v>
      </c>
      <c r="I63" s="12" t="str">
        <f t="shared" si="1"/>
        <v>NEW</v>
      </c>
      <c r="J63" s="5" t="str">
        <f>IFERROR(VLOOKUP(TableToday[[#This Row],[Prod. Order]],Components!A:B,2,FALSE), "0")</f>
        <v>LSVLN2</v>
      </c>
      <c r="K63" s="5" t="str">
        <f>IFERROR(VLOOKUP(TableToday[[#This Row],[WorkCenter]],'Resource Info'!A:B,2,FALSE), "0")</f>
        <v>LSV Line 2</v>
      </c>
      <c r="L63" s="6" t="str">
        <f>IFERROR(VLOOKUP(TableToday[[#This Row],[Pack Line]],'Resource Info'!B:C,2,FALSE),"0")</f>
        <v>LSV Conditioning</v>
      </c>
      <c r="M6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3" s="62" t="str">
        <f>IF(OR(TableToday[[#This Row],[Department]]="SSV TREATPACK", TableToday[[#This Row],[Department]]="LSV TREATPACK"),8,"")</f>
        <v/>
      </c>
    </row>
    <row r="64" spans="1:14">
      <c r="A64" s="4" t="str">
        <f t="shared" si="0"/>
        <v>BECO</v>
      </c>
      <c r="B64" s="93" t="s">
        <v>313</v>
      </c>
      <c r="C64" s="90">
        <v>1002300820</v>
      </c>
      <c r="D64" s="91">
        <v>125880</v>
      </c>
      <c r="E64" s="93" t="s">
        <v>14</v>
      </c>
      <c r="F64" s="66">
        <v>46384</v>
      </c>
      <c r="G64" s="67" t="s">
        <v>304</v>
      </c>
      <c r="H64" s="68">
        <v>6</v>
      </c>
      <c r="I64" s="12" t="str">
        <f t="shared" si="1"/>
        <v>NEW</v>
      </c>
      <c r="J64" s="5" t="str">
        <f>IFERROR(VLOOKUP(TableToday[[#This Row],[Prod. Order]],Components!A:B,2,FALSE), "0")</f>
        <v>LSVLN2</v>
      </c>
      <c r="K64" s="5" t="str">
        <f>IFERROR(VLOOKUP(TableToday[[#This Row],[WorkCenter]],'Resource Info'!A:B,2,FALSE), "0")</f>
        <v>LSV Line 2</v>
      </c>
      <c r="L64" s="6" t="str">
        <f>IFERROR(VLOOKUP(TableToday[[#This Row],[Pack Line]],'Resource Info'!B:C,2,FALSE),"0")</f>
        <v>LSV Conditioning</v>
      </c>
      <c r="M6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4" s="62" t="str">
        <f>IF(OR(TableToday[[#This Row],[Department]]="SSV TREATPACK", TableToday[[#This Row],[Department]]="LSV TREATPACK"),8,"")</f>
        <v/>
      </c>
    </row>
    <row r="65" spans="1:14">
      <c r="A65" s="4" t="str">
        <f t="shared" si="0"/>
        <v>BECO</v>
      </c>
      <c r="B65" s="93" t="s">
        <v>313</v>
      </c>
      <c r="C65" s="90">
        <v>1002300822</v>
      </c>
      <c r="D65" s="91">
        <v>50200</v>
      </c>
      <c r="E65" s="93" t="s">
        <v>14</v>
      </c>
      <c r="F65" s="66">
        <v>46384</v>
      </c>
      <c r="G65" s="67" t="s">
        <v>304</v>
      </c>
      <c r="H65" s="68">
        <v>6</v>
      </c>
      <c r="I65" s="12" t="str">
        <f t="shared" si="1"/>
        <v>NEW</v>
      </c>
      <c r="J65" s="5" t="str">
        <f>IFERROR(VLOOKUP(TableToday[[#This Row],[Prod. Order]],Components!A:B,2,FALSE), "0")</f>
        <v>LSVLN2</v>
      </c>
      <c r="K65" s="5" t="str">
        <f>IFERROR(VLOOKUP(TableToday[[#This Row],[WorkCenter]],'Resource Info'!A:B,2,FALSE), "0")</f>
        <v>LSV Line 2</v>
      </c>
      <c r="L65" s="6" t="str">
        <f>IFERROR(VLOOKUP(TableToday[[#This Row],[Pack Line]],'Resource Info'!B:C,2,FALSE),"0")</f>
        <v>LSV Conditioning</v>
      </c>
      <c r="M6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5" s="62" t="str">
        <f>IF(OR(TableToday[[#This Row],[Department]]="SSV TREATPACK", TableToday[[#This Row],[Department]]="LSV TREATPACK"),8,"")</f>
        <v/>
      </c>
    </row>
    <row r="66" spans="1:14">
      <c r="A66" s="4" t="str">
        <f t="shared" ref="A66:A129" si="2">TRIM(LEFT(B66,4))</f>
        <v>SWCO</v>
      </c>
      <c r="B66" s="93" t="s">
        <v>314</v>
      </c>
      <c r="C66" s="90">
        <v>1002295402</v>
      </c>
      <c r="D66" s="91">
        <v>14185.5</v>
      </c>
      <c r="E66" s="93" t="s">
        <v>14</v>
      </c>
      <c r="F66" s="66">
        <v>46386</v>
      </c>
      <c r="G66" s="67" t="s">
        <v>315</v>
      </c>
      <c r="H66" s="68">
        <v>9</v>
      </c>
      <c r="I66" s="12" t="str">
        <f t="shared" ref="I66:I129" si="3">"NEW"</f>
        <v>NEW</v>
      </c>
      <c r="J66" s="5" t="str">
        <f>IFERROR(VLOOKUP(TableToday[[#This Row],[Prod. Order]],Components!A:B,2,FALSE), "0")</f>
        <v>LSVLN1</v>
      </c>
      <c r="K66" s="5" t="str">
        <f>IFERROR(VLOOKUP(TableToday[[#This Row],[WorkCenter]],'Resource Info'!A:B,2,FALSE), "0")</f>
        <v>LSV Line 1</v>
      </c>
      <c r="L66" s="6" t="str">
        <f>IFERROR(VLOOKUP(TableToday[[#This Row],[Pack Line]],'Resource Info'!B:C,2,FALSE),"0")</f>
        <v>LSV Conditioning</v>
      </c>
      <c r="M6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6" s="62" t="str">
        <f>IF(OR(TableToday[[#This Row],[Department]]="SSV TREATPACK", TableToday[[#This Row],[Department]]="LSV TREATPACK"),8,"")</f>
        <v/>
      </c>
    </row>
    <row r="67" spans="1:14">
      <c r="A67" s="4" t="str">
        <f t="shared" si="2"/>
        <v>SWCO</v>
      </c>
      <c r="B67" s="93" t="s">
        <v>219</v>
      </c>
      <c r="C67" s="90">
        <v>2400007882</v>
      </c>
      <c r="D67" s="91">
        <v>486</v>
      </c>
      <c r="E67" s="93" t="s">
        <v>14</v>
      </c>
      <c r="F67" s="66">
        <v>46169</v>
      </c>
      <c r="G67" s="67" t="s">
        <v>167</v>
      </c>
      <c r="H67" s="68"/>
      <c r="I67" s="12" t="str">
        <f t="shared" si="3"/>
        <v>NEW</v>
      </c>
      <c r="J67" s="5" t="str">
        <f>IFERROR(VLOOKUP(TableToday[[#This Row],[Prod. Order]],Components!A:B,2,FALSE), "0")</f>
        <v>LSVGRVTY</v>
      </c>
      <c r="K67" s="5" t="str">
        <f>IFERROR(VLOOKUP(TableToday[[#This Row],[WorkCenter]],'Resource Info'!A:B,2,FALSE), "0")</f>
        <v>LSV Gravity</v>
      </c>
      <c r="L67" s="6" t="str">
        <f>IFERROR(VLOOKUP(TableToday[[#This Row],[Pack Line]],'Resource Info'!B:C,2,FALSE),"0")</f>
        <v>LSV Conditioning</v>
      </c>
      <c r="M6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7" s="62" t="str">
        <f>IF(OR(TableToday[[#This Row],[Department]]="SSV TREATPACK", TableToday[[#This Row],[Department]]="LSV TREATPACK"),8,"")</f>
        <v/>
      </c>
    </row>
    <row r="68" spans="1:14">
      <c r="A68" s="4" t="str">
        <f t="shared" si="2"/>
        <v>SWCO</v>
      </c>
      <c r="B68" s="93" t="s">
        <v>343</v>
      </c>
      <c r="C68" s="90">
        <v>1002295415</v>
      </c>
      <c r="D68" s="91">
        <v>24610</v>
      </c>
      <c r="E68" s="93" t="s">
        <v>14</v>
      </c>
      <c r="F68" s="66">
        <v>46341</v>
      </c>
      <c r="G68" s="67" t="s">
        <v>315</v>
      </c>
      <c r="H68" s="68">
        <v>3</v>
      </c>
      <c r="I68" s="12" t="str">
        <f t="shared" si="3"/>
        <v>NEW</v>
      </c>
      <c r="J68" s="5" t="str">
        <f>IFERROR(VLOOKUP(TableToday[[#This Row],[Prod. Order]],Components!A:B,2,FALSE), "0")</f>
        <v>LSVLN1</v>
      </c>
      <c r="K68" s="5" t="str">
        <f>IFERROR(VLOOKUP(TableToday[[#This Row],[WorkCenter]],'Resource Info'!A:B,2,FALSE), "0")</f>
        <v>LSV Line 1</v>
      </c>
      <c r="L68" s="6" t="str">
        <f>IFERROR(VLOOKUP(TableToday[[#This Row],[Pack Line]],'Resource Info'!B:C,2,FALSE),"0")</f>
        <v>LSV Conditioning</v>
      </c>
      <c r="M6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8" s="62" t="str">
        <f>IF(OR(TableToday[[#This Row],[Department]]="SSV TREATPACK", TableToday[[#This Row],[Department]]="LSV TREATPACK"),8,"")</f>
        <v/>
      </c>
    </row>
    <row r="69" spans="1:14">
      <c r="A69" s="4" t="str">
        <f t="shared" si="2"/>
        <v>MEBS</v>
      </c>
      <c r="B69" s="93" t="s">
        <v>385</v>
      </c>
      <c r="C69" s="90">
        <v>1002309552</v>
      </c>
      <c r="D69" s="91">
        <v>26.3</v>
      </c>
      <c r="E69" s="93" t="s">
        <v>14</v>
      </c>
      <c r="F69" s="66">
        <v>46308</v>
      </c>
      <c r="G69" s="67" t="s">
        <v>317</v>
      </c>
      <c r="H69" s="68"/>
      <c r="I69" s="12" t="str">
        <f t="shared" si="3"/>
        <v>NEW</v>
      </c>
      <c r="J69" s="5" t="str">
        <f>IFERROR(VLOOKUP(TableToday[[#This Row],[Prod. Order]],Components!A:B,2,FALSE), "0")</f>
        <v>SSVLN5</v>
      </c>
      <c r="K69" s="5" t="str">
        <f>IFERROR(VLOOKUP(TableToday[[#This Row],[WorkCenter]],'Resource Info'!A:B,2,FALSE), "0")</f>
        <v>SSV Line 5</v>
      </c>
      <c r="L69" s="6" t="str">
        <f>IFERROR(VLOOKUP(TableToday[[#This Row],[Pack Line]],'Resource Info'!B:C,2,FALSE),"0")</f>
        <v>SSV Conditioning</v>
      </c>
      <c r="M6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69" s="62" t="str">
        <f>IF(OR(TableToday[[#This Row],[Department]]="SSV TREATPACK", TableToday[[#This Row],[Department]]="LSV TREATPACK"),8,"")</f>
        <v/>
      </c>
    </row>
    <row r="70" spans="1:14">
      <c r="A70" s="4" t="str">
        <f t="shared" si="2"/>
        <v>WACO</v>
      </c>
      <c r="B70" s="93" t="s">
        <v>274</v>
      </c>
      <c r="C70" s="90">
        <v>300102393</v>
      </c>
      <c r="D70" s="91">
        <v>700</v>
      </c>
      <c r="E70" s="93" t="s">
        <v>20</v>
      </c>
      <c r="F70" s="66">
        <v>46308</v>
      </c>
      <c r="G70" s="67" t="s">
        <v>302</v>
      </c>
      <c r="H70" s="68"/>
      <c r="I70" s="12" t="str">
        <f t="shared" si="3"/>
        <v>NEW</v>
      </c>
      <c r="J70" s="5" t="str">
        <f>IFERROR(VLOOKUP(TableToday[[#This Row],[Prod. Order]],Components!A:B,2,FALSE), "0")</f>
        <v>SSVRPR5</v>
      </c>
      <c r="K70" s="5" t="str">
        <f>IFERROR(VLOOKUP(TableToday[[#This Row],[WorkCenter]],'Resource Info'!A:B,2,FALSE), "0")</f>
        <v>SSV Line 5 Repair</v>
      </c>
      <c r="L70" s="6" t="str">
        <f>IFERROR(VLOOKUP(TableToday[[#This Row],[Pack Line]],'Resource Info'!B:C,2,FALSE),"0")</f>
        <v>SSV Conditioning</v>
      </c>
      <c r="M7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0" s="62" t="str">
        <f>IF(OR(TableToday[[#This Row],[Department]]="SSV TREATPACK", TableToday[[#This Row],[Department]]="LSV TREATPACK"),8,"")</f>
        <v/>
      </c>
    </row>
    <row r="71" spans="1:14">
      <c r="A71" s="4" t="str">
        <f t="shared" si="2"/>
        <v>WACO</v>
      </c>
      <c r="B71" s="93" t="s">
        <v>274</v>
      </c>
      <c r="C71" s="90">
        <v>300102394</v>
      </c>
      <c r="D71" s="91">
        <v>750</v>
      </c>
      <c r="E71" s="93" t="s">
        <v>20</v>
      </c>
      <c r="F71" s="66">
        <v>46308</v>
      </c>
      <c r="G71" s="67" t="s">
        <v>305</v>
      </c>
      <c r="H71" s="68"/>
      <c r="I71" s="12" t="str">
        <f t="shared" si="3"/>
        <v>NEW</v>
      </c>
      <c r="J71" s="5" t="str">
        <f>IFERROR(VLOOKUP(TableToday[[#This Row],[Prod. Order]],Components!A:B,2,FALSE), "0")</f>
        <v>SSVRPR5</v>
      </c>
      <c r="K71" s="5" t="str">
        <f>IFERROR(VLOOKUP(TableToday[[#This Row],[WorkCenter]],'Resource Info'!A:B,2,FALSE), "0")</f>
        <v>SSV Line 5 Repair</v>
      </c>
      <c r="L71" s="6" t="str">
        <f>IFERROR(VLOOKUP(TableToday[[#This Row],[Pack Line]],'Resource Info'!B:C,2,FALSE),"0")</f>
        <v>SSV Conditioning</v>
      </c>
      <c r="M7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1" s="62" t="str">
        <f>IF(OR(TableToday[[#This Row],[Department]]="SSV TREATPACK", TableToday[[#This Row],[Department]]="LSV TREATPACK"),8,"")</f>
        <v/>
      </c>
    </row>
    <row r="72" spans="1:14">
      <c r="A72" s="4" t="str">
        <f t="shared" si="2"/>
        <v>WACO</v>
      </c>
      <c r="B72" s="93" t="s">
        <v>274</v>
      </c>
      <c r="C72" s="90">
        <v>300102395</v>
      </c>
      <c r="D72" s="91">
        <v>1150</v>
      </c>
      <c r="E72" s="93" t="s">
        <v>20</v>
      </c>
      <c r="F72" s="66">
        <v>46308</v>
      </c>
      <c r="G72" s="67" t="s">
        <v>306</v>
      </c>
      <c r="H72" s="68"/>
      <c r="I72" s="12" t="str">
        <f t="shared" si="3"/>
        <v>NEW</v>
      </c>
      <c r="J72" s="5" t="str">
        <f>IFERROR(VLOOKUP(TableToday[[#This Row],[Prod. Order]],Components!A:B,2,FALSE), "0")</f>
        <v>SSVRPR5</v>
      </c>
      <c r="K72" s="5" t="str">
        <f>IFERROR(VLOOKUP(TableToday[[#This Row],[WorkCenter]],'Resource Info'!A:B,2,FALSE), "0")</f>
        <v>SSV Line 5 Repair</v>
      </c>
      <c r="L72" s="6" t="str">
        <f>IFERROR(VLOOKUP(TableToday[[#This Row],[Pack Line]],'Resource Info'!B:C,2,FALSE),"0")</f>
        <v>SSV Conditioning</v>
      </c>
      <c r="M7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2" s="62" t="str">
        <f>IF(OR(TableToday[[#This Row],[Department]]="SSV TREATPACK", TableToday[[#This Row],[Department]]="LSV TREATPACK"),8,"")</f>
        <v/>
      </c>
    </row>
    <row r="73" spans="1:14">
      <c r="A73" s="4" t="str">
        <f t="shared" si="2"/>
        <v>SWBS</v>
      </c>
      <c r="B73" s="93" t="s">
        <v>295</v>
      </c>
      <c r="C73" s="90">
        <v>2400008280</v>
      </c>
      <c r="D73" s="91">
        <v>244.5</v>
      </c>
      <c r="E73" s="93" t="s">
        <v>14</v>
      </c>
      <c r="F73" s="66">
        <v>46281</v>
      </c>
      <c r="G73" s="67" t="s">
        <v>248</v>
      </c>
      <c r="H73" s="68"/>
      <c r="I73" s="12" t="str">
        <f t="shared" si="3"/>
        <v>NEW</v>
      </c>
      <c r="J73" s="5" t="str">
        <f>IFERROR(VLOOKUP(TableToday[[#This Row],[Prod. Order]],Components!A:B,2,FALSE), "0")</f>
        <v>LSVGRVTY</v>
      </c>
      <c r="K73" s="5" t="str">
        <f>IFERROR(VLOOKUP(TableToday[[#This Row],[WorkCenter]],'Resource Info'!A:B,2,FALSE), "0")</f>
        <v>LSV Gravity</v>
      </c>
      <c r="L73" s="6" t="str">
        <f>IFERROR(VLOOKUP(TableToday[[#This Row],[Pack Line]],'Resource Info'!B:C,2,FALSE),"0")</f>
        <v>LSV Conditioning</v>
      </c>
      <c r="M7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3" s="62" t="str">
        <f>IF(OR(TableToday[[#This Row],[Department]]="SSV TREATPACK", TableToday[[#This Row],[Department]]="LSV TREATPACK"),8,"")</f>
        <v/>
      </c>
    </row>
    <row r="74" spans="1:14">
      <c r="A74" s="4" t="str">
        <f t="shared" si="2"/>
        <v>SWBS</v>
      </c>
      <c r="B74" s="93" t="s">
        <v>345</v>
      </c>
      <c r="C74" s="90">
        <v>2400008095</v>
      </c>
      <c r="D74" s="91">
        <v>6047</v>
      </c>
      <c r="E74" s="93" t="s">
        <v>14</v>
      </c>
      <c r="F74" s="66">
        <v>46293</v>
      </c>
      <c r="G74" s="67" t="s">
        <v>386</v>
      </c>
      <c r="H74" s="68"/>
      <c r="I74" s="12" t="str">
        <f t="shared" si="3"/>
        <v>NEW</v>
      </c>
      <c r="J74" s="5" t="str">
        <f>IFERROR(VLOOKUP(TableToday[[#This Row],[Prod. Order]],Components!A:B,2,FALSE), "0")</f>
        <v>LSVGRVTY</v>
      </c>
      <c r="K74" s="5" t="str">
        <f>IFERROR(VLOOKUP(TableToday[[#This Row],[WorkCenter]],'Resource Info'!A:B,2,FALSE), "0")</f>
        <v>LSV Gravity</v>
      </c>
      <c r="L74" s="6" t="str">
        <f>IFERROR(VLOOKUP(TableToday[[#This Row],[Pack Line]],'Resource Info'!B:C,2,FALSE),"0")</f>
        <v>LSV Conditioning</v>
      </c>
      <c r="M7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4" s="62" t="str">
        <f>IF(OR(TableToday[[#This Row],[Department]]="SSV TREATPACK", TableToday[[#This Row],[Department]]="LSV TREATPACK"),8,"")</f>
        <v/>
      </c>
    </row>
    <row r="75" spans="1:14">
      <c r="A75" s="4" t="str">
        <f t="shared" si="2"/>
        <v>BECO</v>
      </c>
      <c r="B75" s="93" t="s">
        <v>363</v>
      </c>
      <c r="C75" s="90">
        <v>1002302884</v>
      </c>
      <c r="D75" s="91">
        <v>14300</v>
      </c>
      <c r="E75" s="93" t="s">
        <v>14</v>
      </c>
      <c r="F75" s="66">
        <v>46384</v>
      </c>
      <c r="G75" s="67" t="s">
        <v>348</v>
      </c>
      <c r="H75" s="68">
        <v>2</v>
      </c>
      <c r="I75" s="12" t="str">
        <f t="shared" si="3"/>
        <v>NEW</v>
      </c>
      <c r="J75" s="5" t="str">
        <f>IFERROR(VLOOKUP(TableToday[[#This Row],[Prod. Order]],Components!A:B,2,FALSE), "0")</f>
        <v>LSVLN2</v>
      </c>
      <c r="K75" s="5" t="str">
        <f>IFERROR(VLOOKUP(TableToday[[#This Row],[WorkCenter]],'Resource Info'!A:B,2,FALSE), "0")</f>
        <v>LSV Line 2</v>
      </c>
      <c r="L75" s="6" t="str">
        <f>IFERROR(VLOOKUP(TableToday[[#This Row],[Pack Line]],'Resource Info'!B:C,2,FALSE),"0")</f>
        <v>LSV Conditioning</v>
      </c>
      <c r="M7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5" s="62" t="str">
        <f>IF(OR(TableToday[[#This Row],[Department]]="SSV TREATPACK", TableToday[[#This Row],[Department]]="LSV TREATPACK"),8,"")</f>
        <v/>
      </c>
    </row>
    <row r="76" spans="1:14">
      <c r="A76" s="4" t="str">
        <f t="shared" si="2"/>
        <v>BECO</v>
      </c>
      <c r="B76" s="93" t="s">
        <v>363</v>
      </c>
      <c r="C76" s="90">
        <v>1002307905</v>
      </c>
      <c r="D76" s="91">
        <v>10490</v>
      </c>
      <c r="E76" s="93" t="s">
        <v>14</v>
      </c>
      <c r="F76" s="66">
        <v>46384</v>
      </c>
      <c r="G76" s="67" t="s">
        <v>348</v>
      </c>
      <c r="H76" s="68">
        <v>2</v>
      </c>
      <c r="I76" s="12" t="str">
        <f t="shared" si="3"/>
        <v>NEW</v>
      </c>
      <c r="J76" s="5" t="str">
        <f>IFERROR(VLOOKUP(TableToday[[#This Row],[Prod. Order]],Components!A:B,2,FALSE), "0")</f>
        <v>LSVLN2</v>
      </c>
      <c r="K76" s="5" t="str">
        <f>IFERROR(VLOOKUP(TableToday[[#This Row],[WorkCenter]],'Resource Info'!A:B,2,FALSE), "0")</f>
        <v>LSV Line 2</v>
      </c>
      <c r="L76" s="6" t="str">
        <f>IFERROR(VLOOKUP(TableToday[[#This Row],[Pack Line]],'Resource Info'!B:C,2,FALSE),"0")</f>
        <v>LSV Conditioning</v>
      </c>
      <c r="M7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6" s="62" t="str">
        <f>IF(OR(TableToday[[#This Row],[Department]]="SSV TREATPACK", TableToday[[#This Row],[Department]]="LSV TREATPACK"),8,"")</f>
        <v/>
      </c>
    </row>
    <row r="77" spans="1:14">
      <c r="A77" s="4" t="str">
        <f t="shared" si="2"/>
        <v>SQBS</v>
      </c>
      <c r="B77" s="93" t="s">
        <v>296</v>
      </c>
      <c r="C77" s="90">
        <v>1002304237</v>
      </c>
      <c r="D77" s="91">
        <v>44.22</v>
      </c>
      <c r="E77" s="93" t="s">
        <v>14</v>
      </c>
      <c r="F77" s="66">
        <v>46287</v>
      </c>
      <c r="G77" s="67" t="s">
        <v>291</v>
      </c>
      <c r="H77" s="68"/>
      <c r="I77" s="12" t="str">
        <f t="shared" si="3"/>
        <v>NEW</v>
      </c>
      <c r="J77" s="5" t="str">
        <f>IFERROR(VLOOKUP(TableToday[[#This Row],[Prod. Order]],Components!A:B,2,FALSE), "0")</f>
        <v>SSVLN5</v>
      </c>
      <c r="K77" s="5" t="str">
        <f>IFERROR(VLOOKUP(TableToday[[#This Row],[WorkCenter]],'Resource Info'!A:B,2,FALSE), "0")</f>
        <v>SSV Line 5</v>
      </c>
      <c r="L77" s="6" t="str">
        <f>IFERROR(VLOOKUP(TableToday[[#This Row],[Pack Line]],'Resource Info'!B:C,2,FALSE),"0")</f>
        <v>SSV Conditioning</v>
      </c>
      <c r="M7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7" s="62" t="str">
        <f>IF(OR(TableToday[[#This Row],[Department]]="SSV TREATPACK", TableToday[[#This Row],[Department]]="LSV TREATPACK"),8,"")</f>
        <v/>
      </c>
    </row>
    <row r="78" spans="1:14">
      <c r="A78" s="4" t="str">
        <f t="shared" si="2"/>
        <v>SWCO</v>
      </c>
      <c r="B78" s="93" t="s">
        <v>346</v>
      </c>
      <c r="C78" s="90">
        <v>1002307261</v>
      </c>
      <c r="D78" s="91">
        <v>11000</v>
      </c>
      <c r="E78" s="93" t="s">
        <v>14</v>
      </c>
      <c r="F78" s="66">
        <v>46324</v>
      </c>
      <c r="G78" s="67" t="s">
        <v>315</v>
      </c>
      <c r="H78" s="68">
        <v>9</v>
      </c>
      <c r="I78" s="12" t="str">
        <f t="shared" si="3"/>
        <v>NEW</v>
      </c>
      <c r="J78" s="5" t="str">
        <f>IFERROR(VLOOKUP(TableToday[[#This Row],[Prod. Order]],Components!A:B,2,FALSE), "0")</f>
        <v>LSVLN2</v>
      </c>
      <c r="K78" s="5" t="str">
        <f>IFERROR(VLOOKUP(TableToday[[#This Row],[WorkCenter]],'Resource Info'!A:B,2,FALSE), "0")</f>
        <v>LSV Line 2</v>
      </c>
      <c r="L78" s="6" t="str">
        <f>IFERROR(VLOOKUP(TableToday[[#This Row],[Pack Line]],'Resource Info'!B:C,2,FALSE),"0")</f>
        <v>LSV Conditioning</v>
      </c>
      <c r="M7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8" s="62" t="str">
        <f>IF(OR(TableToday[[#This Row],[Department]]="SSV TREATPACK", TableToday[[#This Row],[Department]]="LSV TREATPACK"),8,"")</f>
        <v/>
      </c>
    </row>
    <row r="79" spans="1:14">
      <c r="A79" s="4" t="str">
        <f t="shared" si="2"/>
        <v>WCCO</v>
      </c>
      <c r="B79" s="93" t="s">
        <v>368</v>
      </c>
      <c r="C79" s="90">
        <v>1002309118</v>
      </c>
      <c r="D79" s="91">
        <v>727</v>
      </c>
      <c r="E79" s="93" t="s">
        <v>14</v>
      </c>
      <c r="F79" s="66">
        <v>46300</v>
      </c>
      <c r="G79" s="67" t="s">
        <v>369</v>
      </c>
      <c r="H79" s="68"/>
      <c r="I79" s="12" t="str">
        <f t="shared" si="3"/>
        <v>NEW</v>
      </c>
      <c r="J79" s="5" t="str">
        <f>IFERROR(VLOOKUP(TableToday[[#This Row],[Prod. Order]],Components!A:B,2,FALSE), "0")</f>
        <v>SSVLN3</v>
      </c>
      <c r="K79" s="5" t="str">
        <f>IFERROR(VLOOKUP(TableToday[[#This Row],[WorkCenter]],'Resource Info'!A:B,2,FALSE), "0")</f>
        <v>SSV Line 3</v>
      </c>
      <c r="L79" s="6" t="str">
        <f>IFERROR(VLOOKUP(TableToday[[#This Row],[Pack Line]],'Resource Info'!B:C,2,FALSE),"0")</f>
        <v>SSV Conditioning</v>
      </c>
      <c r="M7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79" s="62" t="str">
        <f>IF(OR(TableToday[[#This Row],[Department]]="SSV TREATPACK", TableToday[[#This Row],[Department]]="LSV TREATPACK"),8,"")</f>
        <v/>
      </c>
    </row>
    <row r="80" spans="1:14">
      <c r="A80" s="4" t="str">
        <f t="shared" si="2"/>
        <v>WACO</v>
      </c>
      <c r="B80" s="93" t="s">
        <v>283</v>
      </c>
      <c r="C80" s="90">
        <v>1002302679</v>
      </c>
      <c r="D80" s="91">
        <v>500</v>
      </c>
      <c r="E80" s="93" t="s">
        <v>14</v>
      </c>
      <c r="F80" s="66">
        <v>46282</v>
      </c>
      <c r="G80" s="67" t="s">
        <v>21</v>
      </c>
      <c r="H80" s="68"/>
      <c r="I80" s="12" t="str">
        <f t="shared" si="3"/>
        <v>NEW</v>
      </c>
      <c r="J80" s="5" t="str">
        <f>IFERROR(VLOOKUP(TableToday[[#This Row],[Prod. Order]],Components!A:B,2,FALSE), "0")</f>
        <v>SSVLN3</v>
      </c>
      <c r="K80" s="5" t="str">
        <f>IFERROR(VLOOKUP(TableToday[[#This Row],[WorkCenter]],'Resource Info'!A:B,2,FALSE), "0")</f>
        <v>SSV Line 3</v>
      </c>
      <c r="L80" s="6" t="str">
        <f>IFERROR(VLOOKUP(TableToday[[#This Row],[Pack Line]],'Resource Info'!B:C,2,FALSE),"0")</f>
        <v>SSV Conditioning</v>
      </c>
      <c r="M8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0" s="62" t="str">
        <f>IF(OR(TableToday[[#This Row],[Department]]="SSV TREATPACK", TableToday[[#This Row],[Department]]="LSV TREATPACK"),8,"")</f>
        <v/>
      </c>
    </row>
    <row r="81" spans="1:14">
      <c r="A81" s="4" t="str">
        <f t="shared" si="2"/>
        <v>WACO</v>
      </c>
      <c r="B81" s="93" t="s">
        <v>283</v>
      </c>
      <c r="C81" s="90">
        <v>300102387</v>
      </c>
      <c r="D81" s="91">
        <v>1500</v>
      </c>
      <c r="E81" s="93" t="s">
        <v>20</v>
      </c>
      <c r="F81" s="66">
        <v>46300</v>
      </c>
      <c r="G81" s="67" t="s">
        <v>284</v>
      </c>
      <c r="H81" s="68"/>
      <c r="I81" s="12" t="str">
        <f t="shared" si="3"/>
        <v>NEW</v>
      </c>
      <c r="J81" s="5" t="str">
        <f>IFERROR(VLOOKUP(TableToday[[#This Row],[Prod. Order]],Components!A:B,2,FALSE), "0")</f>
        <v>SSVLN5</v>
      </c>
      <c r="K81" s="5" t="str">
        <f>IFERROR(VLOOKUP(TableToday[[#This Row],[WorkCenter]],'Resource Info'!A:B,2,FALSE), "0")</f>
        <v>SSV Line 5</v>
      </c>
      <c r="L81" s="6" t="str">
        <f>IFERROR(VLOOKUP(TableToday[[#This Row],[Pack Line]],'Resource Info'!B:C,2,FALSE),"0")</f>
        <v>SSV Conditioning</v>
      </c>
      <c r="M8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1" s="62" t="str">
        <f>IF(OR(TableToday[[#This Row],[Department]]="SSV TREATPACK", TableToday[[#This Row],[Department]]="LSV TREATPACK"),8,"")</f>
        <v/>
      </c>
    </row>
    <row r="82" spans="1:14">
      <c r="A82" s="4" t="str">
        <f t="shared" si="2"/>
        <v>WACO</v>
      </c>
      <c r="B82" s="93" t="s">
        <v>283</v>
      </c>
      <c r="C82" s="90">
        <v>300102400</v>
      </c>
      <c r="D82" s="91">
        <v>1200</v>
      </c>
      <c r="E82" s="93" t="s">
        <v>20</v>
      </c>
      <c r="F82" s="66">
        <v>46308</v>
      </c>
      <c r="G82" s="67" t="s">
        <v>307</v>
      </c>
      <c r="H82" s="68"/>
      <c r="I82" s="12" t="str">
        <f t="shared" si="3"/>
        <v>NEW</v>
      </c>
      <c r="J82" s="5" t="str">
        <f>IFERROR(VLOOKUP(TableToday[[#This Row],[Prod. Order]],Components!A:B,2,FALSE), "0")</f>
        <v>SSVRPR5</v>
      </c>
      <c r="K82" s="5" t="str">
        <f>IFERROR(VLOOKUP(TableToday[[#This Row],[WorkCenter]],'Resource Info'!A:B,2,FALSE), "0")</f>
        <v>SSV Line 5 Repair</v>
      </c>
      <c r="L82" s="6" t="str">
        <f>IFERROR(VLOOKUP(TableToday[[#This Row],[Pack Line]],'Resource Info'!B:C,2,FALSE),"0")</f>
        <v>SSV Conditioning</v>
      </c>
      <c r="M8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2" s="62" t="str">
        <f>IF(OR(TableToday[[#This Row],[Department]]="SSV TREATPACK", TableToday[[#This Row],[Department]]="LSV TREATPACK"),8,"")</f>
        <v/>
      </c>
    </row>
    <row r="83" spans="1:14">
      <c r="A83" s="4" t="str">
        <f t="shared" si="2"/>
        <v>SQBS</v>
      </c>
      <c r="B83" s="93" t="s">
        <v>297</v>
      </c>
      <c r="C83" s="90">
        <v>1002304236</v>
      </c>
      <c r="D83" s="91">
        <v>40.47</v>
      </c>
      <c r="E83" s="93" t="s">
        <v>14</v>
      </c>
      <c r="F83" s="66">
        <v>46286</v>
      </c>
      <c r="G83" s="67" t="s">
        <v>291</v>
      </c>
      <c r="H83" s="68"/>
      <c r="I83" s="12" t="str">
        <f t="shared" si="3"/>
        <v>NEW</v>
      </c>
      <c r="J83" s="5" t="str">
        <f>IFERROR(VLOOKUP(TableToday[[#This Row],[Prod. Order]],Components!A:B,2,FALSE), "0")</f>
        <v>SSVLN5</v>
      </c>
      <c r="K83" s="5" t="str">
        <f>IFERROR(VLOOKUP(TableToday[[#This Row],[WorkCenter]],'Resource Info'!A:B,2,FALSE), "0")</f>
        <v>SSV Line 5</v>
      </c>
      <c r="L83" s="6" t="str">
        <f>IFERROR(VLOOKUP(TableToday[[#This Row],[Pack Line]],'Resource Info'!B:C,2,FALSE),"0")</f>
        <v>SSV Conditioning</v>
      </c>
      <c r="M8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3" s="62" t="str">
        <f>IF(OR(TableToday[[#This Row],[Department]]="SSV TREATPACK", TableToday[[#This Row],[Department]]="LSV TREATPACK"),8,"")</f>
        <v/>
      </c>
    </row>
    <row r="84" spans="1:14">
      <c r="A84" s="4" t="str">
        <f t="shared" si="2"/>
        <v>CFCO</v>
      </c>
      <c r="B84" s="93" t="s">
        <v>260</v>
      </c>
      <c r="C84" s="90">
        <v>100028680</v>
      </c>
      <c r="D84" s="91">
        <v>7.53</v>
      </c>
      <c r="E84" s="93" t="s">
        <v>14</v>
      </c>
      <c r="F84" s="66">
        <v>46258</v>
      </c>
      <c r="G84" s="67" t="s">
        <v>261</v>
      </c>
      <c r="H84" s="68"/>
      <c r="I84" s="12" t="str">
        <f t="shared" si="3"/>
        <v>NEW</v>
      </c>
      <c r="J84" s="5" t="str">
        <f>IFERROR(VLOOKUP(TableToday[[#This Row],[Prod. Order]],Components!A:B,2,FALSE), "0")</f>
        <v>PASSHLTH</v>
      </c>
      <c r="K84" s="5" t="str">
        <f>IFERROR(VLOOKUP(TableToday[[#This Row],[WorkCenter]],'Resource Info'!A:B,2,FALSE), "0")</f>
        <v>Seed Health</v>
      </c>
      <c r="L84" s="6" t="str">
        <f>IFERROR(VLOOKUP(TableToday[[#This Row],[Pack Line]],'Resource Info'!B:C,2,FALSE),"0")</f>
        <v>Seed Health</v>
      </c>
      <c r="M8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4" s="62" t="str">
        <f>IF(OR(TableToday[[#This Row],[Department]]="SSV TREATPACK", TableToday[[#This Row],[Department]]="LSV TREATPACK"),8,"")</f>
        <v/>
      </c>
    </row>
    <row r="85" spans="1:14">
      <c r="A85" s="4" t="str">
        <f t="shared" si="2"/>
        <v>BEBS</v>
      </c>
      <c r="B85" s="93" t="s">
        <v>364</v>
      </c>
      <c r="C85" s="90">
        <v>1002303204</v>
      </c>
      <c r="D85" s="91">
        <v>10800</v>
      </c>
      <c r="E85" s="93" t="s">
        <v>14</v>
      </c>
      <c r="F85" s="66">
        <v>46384</v>
      </c>
      <c r="G85" s="67" t="s">
        <v>25</v>
      </c>
      <c r="H85" s="68">
        <v>7</v>
      </c>
      <c r="I85" s="12" t="str">
        <f t="shared" si="3"/>
        <v>NEW</v>
      </c>
      <c r="J85" s="5" t="str">
        <f>IFERROR(VLOOKUP(TableToday[[#This Row],[Prod. Order]],Components!A:B,2,FALSE), "0")</f>
        <v>LSVLN2</v>
      </c>
      <c r="K85" s="5" t="str">
        <f>IFERROR(VLOOKUP(TableToday[[#This Row],[WorkCenter]],'Resource Info'!A:B,2,FALSE), "0")</f>
        <v>LSV Line 2</v>
      </c>
      <c r="L85" s="6" t="str">
        <f>IFERROR(VLOOKUP(TableToday[[#This Row],[Pack Line]],'Resource Info'!B:C,2,FALSE),"0")</f>
        <v>LSV Conditioning</v>
      </c>
      <c r="M8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5" s="62" t="str">
        <f>IF(OR(TableToday[[#This Row],[Department]]="SSV TREATPACK", TableToday[[#This Row],[Department]]="LSV TREATPACK"),8,"")</f>
        <v/>
      </c>
    </row>
    <row r="86" spans="1:14">
      <c r="A86" s="4" t="str">
        <f t="shared" si="2"/>
        <v>MEBS</v>
      </c>
      <c r="B86" s="93" t="s">
        <v>332</v>
      </c>
      <c r="C86" s="90">
        <v>1002306285</v>
      </c>
      <c r="D86" s="91">
        <v>12.85</v>
      </c>
      <c r="E86" s="93" t="s">
        <v>14</v>
      </c>
      <c r="F86" s="66">
        <v>46296</v>
      </c>
      <c r="G86" s="67" t="s">
        <v>317</v>
      </c>
      <c r="H86" s="68"/>
      <c r="I86" s="12" t="str">
        <f t="shared" si="3"/>
        <v>NEW</v>
      </c>
      <c r="J86" s="5" t="str">
        <f>IFERROR(VLOOKUP(TableToday[[#This Row],[Prod. Order]],Components!A:B,2,FALSE), "0")</f>
        <v>SSVLN5</v>
      </c>
      <c r="K86" s="5" t="str">
        <f>IFERROR(VLOOKUP(TableToday[[#This Row],[WorkCenter]],'Resource Info'!A:B,2,FALSE), "0")</f>
        <v>SSV Line 5</v>
      </c>
      <c r="L86" s="6" t="str">
        <f>IFERROR(VLOOKUP(TableToday[[#This Row],[Pack Line]],'Resource Info'!B:C,2,FALSE),"0")</f>
        <v>SSV Conditioning</v>
      </c>
      <c r="M8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6" s="62" t="str">
        <f>IF(OR(TableToday[[#This Row],[Department]]="SSV TREATPACK", TableToday[[#This Row],[Department]]="LSV TREATPACK"),8,"")</f>
        <v/>
      </c>
    </row>
    <row r="87" spans="1:14">
      <c r="A87" s="4" t="str">
        <f t="shared" si="2"/>
        <v>MEBS</v>
      </c>
      <c r="B87" s="93" t="s">
        <v>316</v>
      </c>
      <c r="C87" s="90">
        <v>1002305617</v>
      </c>
      <c r="D87" s="91">
        <v>19.3</v>
      </c>
      <c r="E87" s="93" t="s">
        <v>14</v>
      </c>
      <c r="F87" s="66">
        <v>46295</v>
      </c>
      <c r="G87" s="67" t="s">
        <v>317</v>
      </c>
      <c r="H87" s="68"/>
      <c r="I87" s="12" t="str">
        <f t="shared" si="3"/>
        <v>NEW</v>
      </c>
      <c r="J87" s="5" t="str">
        <f>IFERROR(VLOOKUP(TableToday[[#This Row],[Prod. Order]],Components!A:B,2,FALSE), "0")</f>
        <v>SSVLN5</v>
      </c>
      <c r="K87" s="5" t="str">
        <f>IFERROR(VLOOKUP(TableToday[[#This Row],[WorkCenter]],'Resource Info'!A:B,2,FALSE), "0")</f>
        <v>SSV Line 5</v>
      </c>
      <c r="L87" s="6" t="str">
        <f>IFERROR(VLOOKUP(TableToday[[#This Row],[Pack Line]],'Resource Info'!B:C,2,FALSE),"0")</f>
        <v>SSV Conditioning</v>
      </c>
      <c r="M8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7" s="62" t="str">
        <f>IF(OR(TableToday[[#This Row],[Department]]="SSV TREATPACK", TableToday[[#This Row],[Department]]="LSV TREATPACK"),8,"")</f>
        <v/>
      </c>
    </row>
    <row r="88" spans="1:14">
      <c r="A88" s="4" t="str">
        <f t="shared" si="2"/>
        <v>PECO</v>
      </c>
      <c r="B88" s="93" t="s">
        <v>289</v>
      </c>
      <c r="C88" s="90">
        <v>1002266913</v>
      </c>
      <c r="D88" s="91">
        <v>164940</v>
      </c>
      <c r="E88" s="93" t="s">
        <v>14</v>
      </c>
      <c r="F88" s="66">
        <v>46286</v>
      </c>
      <c r="G88" s="67" t="s">
        <v>246</v>
      </c>
      <c r="H88" s="68">
        <v>5</v>
      </c>
      <c r="I88" s="12" t="str">
        <f t="shared" si="3"/>
        <v>NEW</v>
      </c>
      <c r="J88" s="5" t="str">
        <f>IFERROR(VLOOKUP(TableToday[[#This Row],[Prod. Order]],Components!A:B,2,FALSE), "0")</f>
        <v>LSVLN1</v>
      </c>
      <c r="K88" s="5" t="str">
        <f>IFERROR(VLOOKUP(TableToday[[#This Row],[WorkCenter]],'Resource Info'!A:B,2,FALSE), "0")</f>
        <v>LSV Line 1</v>
      </c>
      <c r="L88" s="6" t="str">
        <f>IFERROR(VLOOKUP(TableToday[[#This Row],[Pack Line]],'Resource Info'!B:C,2,FALSE),"0")</f>
        <v>LSV Conditioning</v>
      </c>
      <c r="M8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8" s="62" t="str">
        <f>IF(OR(TableToday[[#This Row],[Department]]="SSV TREATPACK", TableToday[[#This Row],[Department]]="LSV TREATPACK"),8,"")</f>
        <v/>
      </c>
    </row>
    <row r="89" spans="1:14">
      <c r="A89" s="4" t="str">
        <f t="shared" si="2"/>
        <v>PECO</v>
      </c>
      <c r="B89" s="93" t="s">
        <v>289</v>
      </c>
      <c r="C89" s="90">
        <v>1002267630</v>
      </c>
      <c r="D89" s="91">
        <v>56170</v>
      </c>
      <c r="E89" s="93" t="s">
        <v>14</v>
      </c>
      <c r="F89" s="66">
        <v>46286</v>
      </c>
      <c r="G89" s="67" t="s">
        <v>246</v>
      </c>
      <c r="H89" s="68">
        <v>2</v>
      </c>
      <c r="I89" s="12" t="str">
        <f t="shared" si="3"/>
        <v>NEW</v>
      </c>
      <c r="J89" s="5" t="str">
        <f>IFERROR(VLOOKUP(TableToday[[#This Row],[Prod. Order]],Components!A:B,2,FALSE), "0")</f>
        <v>LSVLN1</v>
      </c>
      <c r="K89" s="5" t="str">
        <f>IFERROR(VLOOKUP(TableToday[[#This Row],[WorkCenter]],'Resource Info'!A:B,2,FALSE), "0")</f>
        <v>LSV Line 1</v>
      </c>
      <c r="L89" s="6" t="str">
        <f>IFERROR(VLOOKUP(TableToday[[#This Row],[Pack Line]],'Resource Info'!B:C,2,FALSE),"0")</f>
        <v>LSV Conditioning</v>
      </c>
      <c r="M8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89" s="62" t="str">
        <f>IF(OR(TableToday[[#This Row],[Department]]="SSV TREATPACK", TableToday[[#This Row],[Department]]="LSV TREATPACK"),8,"")</f>
        <v/>
      </c>
    </row>
    <row r="90" spans="1:14">
      <c r="A90" s="4" t="str">
        <f t="shared" si="2"/>
        <v>CFCO</v>
      </c>
      <c r="B90" s="93" t="s">
        <v>240</v>
      </c>
      <c r="C90" s="90">
        <v>300102025</v>
      </c>
      <c r="D90" s="91">
        <v>308</v>
      </c>
      <c r="E90" s="93" t="s">
        <v>14</v>
      </c>
      <c r="F90" s="66">
        <v>46232</v>
      </c>
      <c r="G90" s="67" t="s">
        <v>241</v>
      </c>
      <c r="H90" s="68"/>
      <c r="I90" s="12" t="str">
        <f t="shared" si="3"/>
        <v>NEW</v>
      </c>
      <c r="J90" s="5" t="str">
        <f>IFERROR(VLOOKUP(TableToday[[#This Row],[Prod. Order]],Components!A:B,2,FALSE), "0")</f>
        <v>SSVRPR3</v>
      </c>
      <c r="K90" s="5" t="str">
        <f>IFERROR(VLOOKUP(TableToday[[#This Row],[WorkCenter]],'Resource Info'!A:B,2,FALSE), "0")</f>
        <v>SSV Line 3 Repair</v>
      </c>
      <c r="L90" s="6" t="str">
        <f>IFERROR(VLOOKUP(TableToday[[#This Row],[Pack Line]],'Resource Info'!B:C,2,FALSE),"0")</f>
        <v>SSV Conditioning</v>
      </c>
      <c r="M9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0" s="62" t="str">
        <f>IF(OR(TableToday[[#This Row],[Department]]="SSV TREATPACK", TableToday[[#This Row],[Department]]="LSV TREATPACK"),8,"")</f>
        <v/>
      </c>
    </row>
    <row r="91" spans="1:14">
      <c r="A91" s="4" t="str">
        <f t="shared" si="2"/>
        <v>BECO</v>
      </c>
      <c r="B91" s="93" t="s">
        <v>347</v>
      </c>
      <c r="C91" s="90">
        <v>1002303190</v>
      </c>
      <c r="D91" s="91">
        <v>3460</v>
      </c>
      <c r="E91" s="93" t="s">
        <v>14</v>
      </c>
      <c r="F91" s="66">
        <v>46384</v>
      </c>
      <c r="G91" s="67" t="s">
        <v>348</v>
      </c>
      <c r="H91" s="68">
        <v>3</v>
      </c>
      <c r="I91" s="12" t="str">
        <f t="shared" si="3"/>
        <v>NEW</v>
      </c>
      <c r="J91" s="5" t="str">
        <f>IFERROR(VLOOKUP(TableToday[[#This Row],[Prod. Order]],Components!A:B,2,FALSE), "0")</f>
        <v>LSVLN2</v>
      </c>
      <c r="K91" s="5" t="str">
        <f>IFERROR(VLOOKUP(TableToday[[#This Row],[WorkCenter]],'Resource Info'!A:B,2,FALSE), "0")</f>
        <v>LSV Line 2</v>
      </c>
      <c r="L91" s="6" t="str">
        <f>IFERROR(VLOOKUP(TableToday[[#This Row],[Pack Line]],'Resource Info'!B:C,2,FALSE),"0")</f>
        <v>LSV Conditioning</v>
      </c>
      <c r="M9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1" s="62" t="str">
        <f>IF(OR(TableToday[[#This Row],[Department]]="SSV TREATPACK", TableToday[[#This Row],[Department]]="LSV TREATPACK"),8,"")</f>
        <v/>
      </c>
    </row>
    <row r="92" spans="1:14">
      <c r="A92" s="4" t="str">
        <f t="shared" si="2"/>
        <v>SWCO</v>
      </c>
      <c r="B92" s="93" t="s">
        <v>349</v>
      </c>
      <c r="C92" s="90">
        <v>2400008076</v>
      </c>
      <c r="D92" s="91">
        <v>4694</v>
      </c>
      <c r="E92" s="93" t="s">
        <v>14</v>
      </c>
      <c r="F92" s="66">
        <v>46294</v>
      </c>
      <c r="G92" s="67" t="s">
        <v>350</v>
      </c>
      <c r="H92" s="68"/>
      <c r="I92" s="12" t="str">
        <f t="shared" si="3"/>
        <v>NEW</v>
      </c>
      <c r="J92" s="5" t="str">
        <f>IFERROR(VLOOKUP(TableToday[[#This Row],[Prod. Order]],Components!A:B,2,FALSE), "0")</f>
        <v>LSVGRVTY</v>
      </c>
      <c r="K92" s="5" t="str">
        <f>IFERROR(VLOOKUP(TableToday[[#This Row],[WorkCenter]],'Resource Info'!A:B,2,FALSE), "0")</f>
        <v>LSV Gravity</v>
      </c>
      <c r="L92" s="6" t="str">
        <f>IFERROR(VLOOKUP(TableToday[[#This Row],[Pack Line]],'Resource Info'!B:C,2,FALSE),"0")</f>
        <v>LSV Conditioning</v>
      </c>
      <c r="M9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2" s="62" t="str">
        <f>IF(OR(TableToday[[#This Row],[Department]]="SSV TREATPACK", TableToday[[#This Row],[Department]]="LSV TREATPACK"),8,"")</f>
        <v/>
      </c>
    </row>
    <row r="93" spans="1:14">
      <c r="A93" s="4" t="str">
        <f t="shared" si="2"/>
        <v>SQBS</v>
      </c>
      <c r="B93" s="93" t="s">
        <v>298</v>
      </c>
      <c r="C93" s="90">
        <v>1002304240</v>
      </c>
      <c r="D93" s="91">
        <v>13.5</v>
      </c>
      <c r="E93" s="93" t="s">
        <v>14</v>
      </c>
      <c r="F93" s="66">
        <v>46289</v>
      </c>
      <c r="G93" s="67" t="s">
        <v>291</v>
      </c>
      <c r="H93" s="68"/>
      <c r="I93" s="12" t="str">
        <f t="shared" si="3"/>
        <v>NEW</v>
      </c>
      <c r="J93" s="5" t="str">
        <f>IFERROR(VLOOKUP(TableToday[[#This Row],[Prod. Order]],Components!A:B,2,FALSE), "0")</f>
        <v>SSVLN5</v>
      </c>
      <c r="K93" s="5" t="str">
        <f>IFERROR(VLOOKUP(TableToday[[#This Row],[WorkCenter]],'Resource Info'!A:B,2,FALSE), "0")</f>
        <v>SSV Line 5</v>
      </c>
      <c r="L93" s="6" t="str">
        <f>IFERROR(VLOOKUP(TableToday[[#This Row],[Pack Line]],'Resource Info'!B:C,2,FALSE),"0")</f>
        <v>SSV Conditioning</v>
      </c>
      <c r="M9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3" s="62" t="str">
        <f>IF(OR(TableToday[[#This Row],[Department]]="SSV TREATPACK", TableToday[[#This Row],[Department]]="LSV TREATPACK"),8,"")</f>
        <v/>
      </c>
    </row>
    <row r="94" spans="1:14">
      <c r="A94" s="4" t="str">
        <f t="shared" si="2"/>
        <v>SQBS</v>
      </c>
      <c r="B94" s="93" t="s">
        <v>298</v>
      </c>
      <c r="C94" s="90">
        <v>1002305616</v>
      </c>
      <c r="D94" s="91">
        <v>55.84</v>
      </c>
      <c r="E94" s="93" t="s">
        <v>14</v>
      </c>
      <c r="F94" s="66">
        <v>46294</v>
      </c>
      <c r="G94" s="67" t="s">
        <v>291</v>
      </c>
      <c r="H94" s="68"/>
      <c r="I94" s="12" t="str">
        <f t="shared" si="3"/>
        <v>NEW</v>
      </c>
      <c r="J94" s="5" t="str">
        <f>IFERROR(VLOOKUP(TableToday[[#This Row],[Prod. Order]],Components!A:B,2,FALSE), "0")</f>
        <v>SSVLN6</v>
      </c>
      <c r="K94" s="5" t="str">
        <f>IFERROR(VLOOKUP(TableToday[[#This Row],[WorkCenter]],'Resource Info'!A:B,2,FALSE), "0")</f>
        <v>SSV Line 6</v>
      </c>
      <c r="L94" s="6" t="str">
        <f>IFERROR(VLOOKUP(TableToday[[#This Row],[Pack Line]],'Resource Info'!B:C,2,FALSE),"0")</f>
        <v>SSV Conditioning</v>
      </c>
      <c r="M9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4" s="62" t="str">
        <f>IF(OR(TableToday[[#This Row],[Department]]="SSV TREATPACK", TableToday[[#This Row],[Department]]="LSV TREATPACK"),8,"")</f>
        <v/>
      </c>
    </row>
    <row r="95" spans="1:14">
      <c r="A95" s="4" t="str">
        <f t="shared" si="2"/>
        <v>SQCO</v>
      </c>
      <c r="B95" s="93" t="s">
        <v>351</v>
      </c>
      <c r="C95" s="90">
        <v>1002307493</v>
      </c>
      <c r="D95" s="91">
        <v>96.5</v>
      </c>
      <c r="E95" s="93" t="s">
        <v>14</v>
      </c>
      <c r="F95" s="66">
        <v>46301</v>
      </c>
      <c r="G95" s="67" t="s">
        <v>19</v>
      </c>
      <c r="H95" s="68"/>
      <c r="I95" s="12" t="str">
        <f t="shared" si="3"/>
        <v>NEW</v>
      </c>
      <c r="J95" s="5" t="str">
        <f>IFERROR(VLOOKUP(TableToday[[#This Row],[Prod. Order]],Components!A:B,2,FALSE), "0")</f>
        <v>SSVLN6</v>
      </c>
      <c r="K95" s="5" t="str">
        <f>IFERROR(VLOOKUP(TableToday[[#This Row],[WorkCenter]],'Resource Info'!A:B,2,FALSE), "0")</f>
        <v>SSV Line 6</v>
      </c>
      <c r="L95" s="6" t="str">
        <f>IFERROR(VLOOKUP(TableToday[[#This Row],[Pack Line]],'Resource Info'!B:C,2,FALSE),"0")</f>
        <v>SSV Conditioning</v>
      </c>
      <c r="M9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5" s="62" t="str">
        <f>IF(OR(TableToday[[#This Row],[Department]]="SSV TREATPACK", TableToday[[#This Row],[Department]]="LSV TREATPACK"),8,"")</f>
        <v/>
      </c>
    </row>
    <row r="96" spans="1:14">
      <c r="A96" s="4" t="str">
        <f t="shared" si="2"/>
        <v>SQCO</v>
      </c>
      <c r="B96" s="93" t="s">
        <v>351</v>
      </c>
      <c r="C96" s="90">
        <v>1002307494</v>
      </c>
      <c r="D96" s="91">
        <v>94.5</v>
      </c>
      <c r="E96" s="93" t="s">
        <v>14</v>
      </c>
      <c r="F96" s="66">
        <v>46303</v>
      </c>
      <c r="G96" s="67" t="s">
        <v>19</v>
      </c>
      <c r="H96" s="68"/>
      <c r="I96" s="12" t="str">
        <f t="shared" si="3"/>
        <v>NEW</v>
      </c>
      <c r="J96" s="5" t="str">
        <f>IFERROR(VLOOKUP(TableToday[[#This Row],[Prod. Order]],Components!A:B,2,FALSE), "0")</f>
        <v>SSVLN6</v>
      </c>
      <c r="K96" s="5" t="str">
        <f>IFERROR(VLOOKUP(TableToday[[#This Row],[WorkCenter]],'Resource Info'!A:B,2,FALSE), "0")</f>
        <v>SSV Line 6</v>
      </c>
      <c r="L96" s="6" t="str">
        <f>IFERROR(VLOOKUP(TableToday[[#This Row],[Pack Line]],'Resource Info'!B:C,2,FALSE),"0")</f>
        <v>SSV Conditioning</v>
      </c>
      <c r="M9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6" s="62" t="str">
        <f>IF(OR(TableToday[[#This Row],[Department]]="SSV TREATPACK", TableToday[[#This Row],[Department]]="LSV TREATPACK"),8,"")</f>
        <v/>
      </c>
    </row>
    <row r="97" spans="1:14">
      <c r="A97" s="4" t="str">
        <f t="shared" si="2"/>
        <v>SQCO</v>
      </c>
      <c r="B97" s="93" t="s">
        <v>351</v>
      </c>
      <c r="C97" s="90">
        <v>1002307495</v>
      </c>
      <c r="D97" s="91">
        <v>90</v>
      </c>
      <c r="E97" s="93" t="s">
        <v>14</v>
      </c>
      <c r="F97" s="66">
        <v>46304</v>
      </c>
      <c r="G97" s="67" t="s">
        <v>19</v>
      </c>
      <c r="H97" s="68"/>
      <c r="I97" s="12" t="str">
        <f t="shared" si="3"/>
        <v>NEW</v>
      </c>
      <c r="J97" s="5" t="str">
        <f>IFERROR(VLOOKUP(TableToday[[#This Row],[Prod. Order]],Components!A:B,2,FALSE), "0")</f>
        <v>SSVLN6</v>
      </c>
      <c r="K97" s="5" t="str">
        <f>IFERROR(VLOOKUP(TableToday[[#This Row],[WorkCenter]],'Resource Info'!A:B,2,FALSE), "0")</f>
        <v>SSV Line 6</v>
      </c>
      <c r="L97" s="6" t="str">
        <f>IFERROR(VLOOKUP(TableToday[[#This Row],[Pack Line]],'Resource Info'!B:C,2,FALSE),"0")</f>
        <v>SSV Conditioning</v>
      </c>
      <c r="M9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7" s="62" t="str">
        <f>IF(OR(TableToday[[#This Row],[Department]]="SSV TREATPACK", TableToday[[#This Row],[Department]]="LSV TREATPACK"),8,"")</f>
        <v/>
      </c>
    </row>
    <row r="98" spans="1:14">
      <c r="A98" s="4" t="str">
        <f t="shared" si="2"/>
        <v>SQCO</v>
      </c>
      <c r="B98" s="93" t="s">
        <v>351</v>
      </c>
      <c r="C98" s="90">
        <v>1002307496</v>
      </c>
      <c r="D98" s="91">
        <v>146</v>
      </c>
      <c r="E98" s="93" t="s">
        <v>14</v>
      </c>
      <c r="F98" s="66">
        <v>46304</v>
      </c>
      <c r="G98" s="67" t="s">
        <v>19</v>
      </c>
      <c r="H98" s="68"/>
      <c r="I98" s="12" t="str">
        <f t="shared" si="3"/>
        <v>NEW</v>
      </c>
      <c r="J98" s="5" t="str">
        <f>IFERROR(VLOOKUP(TableToday[[#This Row],[Prod. Order]],Components!A:B,2,FALSE), "0")</f>
        <v>SSVLN6</v>
      </c>
      <c r="K98" s="5" t="str">
        <f>IFERROR(VLOOKUP(TableToday[[#This Row],[WorkCenter]],'Resource Info'!A:B,2,FALSE), "0")</f>
        <v>SSV Line 6</v>
      </c>
      <c r="L98" s="6" t="str">
        <f>IFERROR(VLOOKUP(TableToday[[#This Row],[Pack Line]],'Resource Info'!B:C,2,FALSE),"0")</f>
        <v>SSV Conditioning</v>
      </c>
      <c r="M9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8" s="62" t="str">
        <f>IF(OR(TableToday[[#This Row],[Department]]="SSV TREATPACK", TableToday[[#This Row],[Department]]="LSV TREATPACK"),8,"")</f>
        <v/>
      </c>
    </row>
    <row r="99" spans="1:14">
      <c r="A99" s="4" t="str">
        <f t="shared" si="2"/>
        <v>SWCO</v>
      </c>
      <c r="B99" s="93" t="s">
        <v>352</v>
      </c>
      <c r="C99" s="90">
        <v>2400008075</v>
      </c>
      <c r="D99" s="91">
        <v>2475</v>
      </c>
      <c r="E99" s="93" t="s">
        <v>14</v>
      </c>
      <c r="F99" s="66">
        <v>46290</v>
      </c>
      <c r="G99" s="67" t="s">
        <v>353</v>
      </c>
      <c r="H99" s="68"/>
      <c r="I99" s="12" t="str">
        <f t="shared" si="3"/>
        <v>NEW</v>
      </c>
      <c r="J99" s="5" t="str">
        <f>IFERROR(VLOOKUP(TableToday[[#This Row],[Prod. Order]],Components!A:B,2,FALSE), "0")</f>
        <v>LSVGRVTY</v>
      </c>
      <c r="K99" s="5" t="str">
        <f>IFERROR(VLOOKUP(TableToday[[#This Row],[WorkCenter]],'Resource Info'!A:B,2,FALSE), "0")</f>
        <v>LSV Gravity</v>
      </c>
      <c r="L99" s="6" t="str">
        <f>IFERROR(VLOOKUP(TableToday[[#This Row],[Pack Line]],'Resource Info'!B:C,2,FALSE),"0")</f>
        <v>LSV Conditioning</v>
      </c>
      <c r="M9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99" s="62" t="str">
        <f>IF(OR(TableToday[[#This Row],[Department]]="SSV TREATPACK", TableToday[[#This Row],[Department]]="LSV TREATPACK"),8,"")</f>
        <v/>
      </c>
    </row>
    <row r="100" spans="1:14">
      <c r="A100" s="4" t="str">
        <f t="shared" si="2"/>
        <v>MEBS</v>
      </c>
      <c r="B100" s="93" t="s">
        <v>387</v>
      </c>
      <c r="C100" s="90">
        <v>1002309500</v>
      </c>
      <c r="D100" s="91">
        <v>14.1</v>
      </c>
      <c r="E100" s="93" t="s">
        <v>14</v>
      </c>
      <c r="F100" s="66">
        <v>46309</v>
      </c>
      <c r="G100" s="67" t="s">
        <v>317</v>
      </c>
      <c r="H100" s="68"/>
      <c r="I100" s="12" t="str">
        <f t="shared" si="3"/>
        <v>NEW</v>
      </c>
      <c r="J100" s="5" t="str">
        <f>IFERROR(VLOOKUP(TableToday[[#This Row],[Prod. Order]],Components!A:B,2,FALSE), "0")</f>
        <v>SSVLN5</v>
      </c>
      <c r="K100" s="5" t="str">
        <f>IFERROR(VLOOKUP(TableToday[[#This Row],[WorkCenter]],'Resource Info'!A:B,2,FALSE), "0")</f>
        <v>SSV Line 5</v>
      </c>
      <c r="L100" s="6" t="str">
        <f>IFERROR(VLOOKUP(TableToday[[#This Row],[Pack Line]],'Resource Info'!B:C,2,FALSE),"0")</f>
        <v>SSV Conditioning</v>
      </c>
      <c r="M10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0" s="62" t="str">
        <f>IF(OR(TableToday[[#This Row],[Department]]="SSV TREATPACK", TableToday[[#This Row],[Department]]="LSV TREATPACK"),8,"")</f>
        <v/>
      </c>
    </row>
    <row r="101" spans="1:14">
      <c r="A101" s="4" t="str">
        <f t="shared" si="2"/>
        <v>WACO</v>
      </c>
      <c r="B101" s="93" t="s">
        <v>275</v>
      </c>
      <c r="C101" s="90">
        <v>1002300828</v>
      </c>
      <c r="D101" s="91">
        <v>4500</v>
      </c>
      <c r="E101" s="93" t="s">
        <v>14</v>
      </c>
      <c r="F101" s="66">
        <v>46279</v>
      </c>
      <c r="G101" s="67" t="s">
        <v>266</v>
      </c>
      <c r="H101" s="68"/>
      <c r="I101" s="12" t="str">
        <f t="shared" si="3"/>
        <v>NEW</v>
      </c>
      <c r="J101" s="5" t="str">
        <f>IFERROR(VLOOKUP(TableToday[[#This Row],[Prod. Order]],Components!A:B,2,FALSE), "0")</f>
        <v>SSVLN3</v>
      </c>
      <c r="K101" s="5" t="str">
        <f>IFERROR(VLOOKUP(TableToday[[#This Row],[WorkCenter]],'Resource Info'!A:B,2,FALSE), "0")</f>
        <v>SSV Line 3</v>
      </c>
      <c r="L101" s="6" t="str">
        <f>IFERROR(VLOOKUP(TableToday[[#This Row],[Pack Line]],'Resource Info'!B:C,2,FALSE),"0")</f>
        <v>SSV Conditioning</v>
      </c>
      <c r="M10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1" s="62" t="str">
        <f>IF(OR(TableToday[[#This Row],[Department]]="SSV TREATPACK", TableToday[[#This Row],[Department]]="LSV TREATPACK"),8,"")</f>
        <v/>
      </c>
    </row>
    <row r="102" spans="1:14">
      <c r="A102" s="4" t="str">
        <f t="shared" si="2"/>
        <v>WCCO</v>
      </c>
      <c r="B102" s="93" t="s">
        <v>370</v>
      </c>
      <c r="C102" s="90">
        <v>1002309119</v>
      </c>
      <c r="D102" s="91">
        <v>375</v>
      </c>
      <c r="E102" s="93" t="s">
        <v>14</v>
      </c>
      <c r="F102" s="66">
        <v>46311</v>
      </c>
      <c r="G102" s="67" t="s">
        <v>371</v>
      </c>
      <c r="H102" s="68"/>
      <c r="I102" s="12" t="str">
        <f t="shared" si="3"/>
        <v>NEW</v>
      </c>
      <c r="J102" s="5" t="str">
        <f>IFERROR(VLOOKUP(TableToday[[#This Row],[Prod. Order]],Components!A:B,2,FALSE), "0")</f>
        <v>SSVLN3</v>
      </c>
      <c r="K102" s="5" t="str">
        <f>IFERROR(VLOOKUP(TableToday[[#This Row],[WorkCenter]],'Resource Info'!A:B,2,FALSE), "0")</f>
        <v>SSV Line 3</v>
      </c>
      <c r="L102" s="6" t="str">
        <f>IFERROR(VLOOKUP(TableToday[[#This Row],[Pack Line]],'Resource Info'!B:C,2,FALSE),"0")</f>
        <v>SSV Conditioning</v>
      </c>
      <c r="M10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2" s="62" t="str">
        <f>IF(OR(TableToday[[#This Row],[Department]]="SSV TREATPACK", TableToday[[#This Row],[Department]]="LSV TREATPACK"),8,"")</f>
        <v/>
      </c>
    </row>
    <row r="103" spans="1:14">
      <c r="A103" s="4" t="str">
        <f t="shared" si="2"/>
        <v>BECO</v>
      </c>
      <c r="B103" s="93" t="s">
        <v>354</v>
      </c>
      <c r="C103" s="90">
        <v>1002303196</v>
      </c>
      <c r="D103" s="91">
        <v>21650</v>
      </c>
      <c r="E103" s="93" t="s">
        <v>14</v>
      </c>
      <c r="F103" s="66">
        <v>46384</v>
      </c>
      <c r="G103" s="67" t="s">
        <v>348</v>
      </c>
      <c r="H103" s="68">
        <v>8</v>
      </c>
      <c r="I103" s="12" t="str">
        <f t="shared" si="3"/>
        <v>NEW</v>
      </c>
      <c r="J103" s="5" t="str">
        <f>IFERROR(VLOOKUP(TableToday[[#This Row],[Prod. Order]],Components!A:B,2,FALSE), "0")</f>
        <v>LSVLN2</v>
      </c>
      <c r="K103" s="5" t="str">
        <f>IFERROR(VLOOKUP(TableToday[[#This Row],[WorkCenter]],'Resource Info'!A:B,2,FALSE), "0")</f>
        <v>LSV Line 2</v>
      </c>
      <c r="L103" s="6" t="str">
        <f>IFERROR(VLOOKUP(TableToday[[#This Row],[Pack Line]],'Resource Info'!B:C,2,FALSE),"0")</f>
        <v>LSV Conditioning</v>
      </c>
      <c r="M10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3" s="62" t="str">
        <f>IF(OR(TableToday[[#This Row],[Department]]="SSV TREATPACK", TableToday[[#This Row],[Department]]="LSV TREATPACK"),8,"")</f>
        <v/>
      </c>
    </row>
    <row r="104" spans="1:14">
      <c r="A104" s="4" t="str">
        <f t="shared" si="2"/>
        <v>BECO</v>
      </c>
      <c r="B104" s="93" t="s">
        <v>355</v>
      </c>
      <c r="C104" s="90">
        <v>1002302885</v>
      </c>
      <c r="D104" s="91">
        <v>19200</v>
      </c>
      <c r="E104" s="93" t="s">
        <v>14</v>
      </c>
      <c r="F104" s="66">
        <v>46384</v>
      </c>
      <c r="G104" s="67" t="s">
        <v>348</v>
      </c>
      <c r="H104" s="68">
        <v>6</v>
      </c>
      <c r="I104" s="12" t="str">
        <f t="shared" si="3"/>
        <v>NEW</v>
      </c>
      <c r="J104" s="5" t="str">
        <f>IFERROR(VLOOKUP(TableToday[[#This Row],[Prod. Order]],Components!A:B,2,FALSE), "0")</f>
        <v>LSVLN2</v>
      </c>
      <c r="K104" s="5" t="str">
        <f>IFERROR(VLOOKUP(TableToday[[#This Row],[WorkCenter]],'Resource Info'!A:B,2,FALSE), "0")</f>
        <v>LSV Line 2</v>
      </c>
      <c r="L104" s="6" t="str">
        <f>IFERROR(VLOOKUP(TableToday[[#This Row],[Pack Line]],'Resource Info'!B:C,2,FALSE),"0")</f>
        <v>LSV Conditioning</v>
      </c>
      <c r="M10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4" s="62" t="str">
        <f>IF(OR(TableToday[[#This Row],[Department]]="SSV TREATPACK", TableToday[[#This Row],[Department]]="LSV TREATPACK"),8,"")</f>
        <v/>
      </c>
    </row>
    <row r="105" spans="1:14">
      <c r="A105" s="4" t="str">
        <f t="shared" si="2"/>
        <v>WABS</v>
      </c>
      <c r="B105" s="93" t="s">
        <v>285</v>
      </c>
      <c r="C105" s="90">
        <v>1002302357</v>
      </c>
      <c r="D105" s="91">
        <v>27</v>
      </c>
      <c r="E105" s="93" t="s">
        <v>14</v>
      </c>
      <c r="F105" s="66">
        <v>46290</v>
      </c>
      <c r="G105" s="67" t="s">
        <v>232</v>
      </c>
      <c r="H105" s="68"/>
      <c r="I105" s="12" t="str">
        <f t="shared" si="3"/>
        <v>NEW</v>
      </c>
      <c r="J105" s="5" t="str">
        <f>IFERROR(VLOOKUP(TableToday[[#This Row],[Prod. Order]],Components!A:B,2,FALSE), "0")</f>
        <v>SSVLN5</v>
      </c>
      <c r="K105" s="5" t="str">
        <f>IFERROR(VLOOKUP(TableToday[[#This Row],[WorkCenter]],'Resource Info'!A:B,2,FALSE), "0")</f>
        <v>SSV Line 5</v>
      </c>
      <c r="L105" s="6" t="str">
        <f>IFERROR(VLOOKUP(TableToday[[#This Row],[Pack Line]],'Resource Info'!B:C,2,FALSE),"0")</f>
        <v>SSV Conditioning</v>
      </c>
      <c r="M10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5" s="62" t="str">
        <f>IF(OR(TableToday[[#This Row],[Department]]="SSV TREATPACK", TableToday[[#This Row],[Department]]="LSV TREATPACK"),8,"")</f>
        <v/>
      </c>
    </row>
    <row r="106" spans="1:14">
      <c r="A106" s="4" t="str">
        <f t="shared" si="2"/>
        <v>SQBS</v>
      </c>
      <c r="B106" s="93" t="s">
        <v>290</v>
      </c>
      <c r="C106" s="90">
        <v>1002302748</v>
      </c>
      <c r="D106" s="91">
        <v>28.39</v>
      </c>
      <c r="E106" s="93" t="s">
        <v>14</v>
      </c>
      <c r="F106" s="66">
        <v>46290</v>
      </c>
      <c r="G106" s="67" t="s">
        <v>291</v>
      </c>
      <c r="H106" s="68"/>
      <c r="I106" s="12" t="str">
        <f t="shared" si="3"/>
        <v>NEW</v>
      </c>
      <c r="J106" s="5" t="str">
        <f>IFERROR(VLOOKUP(TableToday[[#This Row],[Prod. Order]],Components!A:B,2,FALSE), "0")</f>
        <v>SSVLN5</v>
      </c>
      <c r="K106" s="5" t="str">
        <f>IFERROR(VLOOKUP(TableToday[[#This Row],[WorkCenter]],'Resource Info'!A:B,2,FALSE), "0")</f>
        <v>SSV Line 5</v>
      </c>
      <c r="L106" s="6" t="str">
        <f>IFERROR(VLOOKUP(TableToday[[#This Row],[Pack Line]],'Resource Info'!B:C,2,FALSE),"0")</f>
        <v>SSV Conditioning</v>
      </c>
      <c r="M10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6" s="62" t="str">
        <f>IF(OR(TableToday[[#This Row],[Department]]="SSV TREATPACK", TableToday[[#This Row],[Department]]="LSV TREATPACK"),8,"")</f>
        <v/>
      </c>
    </row>
    <row r="107" spans="1:14">
      <c r="A107" s="4" t="str">
        <f t="shared" si="2"/>
        <v>SQBS</v>
      </c>
      <c r="B107" s="93" t="s">
        <v>299</v>
      </c>
      <c r="C107" s="90">
        <v>1002304239</v>
      </c>
      <c r="D107" s="91">
        <v>64.489999999999995</v>
      </c>
      <c r="E107" s="93" t="s">
        <v>14</v>
      </c>
      <c r="F107" s="66">
        <v>46289</v>
      </c>
      <c r="G107" s="67" t="s">
        <v>291</v>
      </c>
      <c r="H107" s="68"/>
      <c r="I107" s="12" t="str">
        <f t="shared" si="3"/>
        <v>NEW</v>
      </c>
      <c r="J107" s="5" t="str">
        <f>IFERROR(VLOOKUP(TableToday[[#This Row],[Prod. Order]],Components!A:B,2,FALSE), "0")</f>
        <v>SSVLN6</v>
      </c>
      <c r="K107" s="5" t="str">
        <f>IFERROR(VLOOKUP(TableToday[[#This Row],[WorkCenter]],'Resource Info'!A:B,2,FALSE), "0")</f>
        <v>SSV Line 6</v>
      </c>
      <c r="L107" s="6" t="str">
        <f>IFERROR(VLOOKUP(TableToday[[#This Row],[Pack Line]],'Resource Info'!B:C,2,FALSE),"0")</f>
        <v>SSV Conditioning</v>
      </c>
      <c r="M10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7" s="62" t="str">
        <f>IF(OR(TableToday[[#This Row],[Department]]="SSV TREATPACK", TableToday[[#This Row],[Department]]="LSV TREATPACK"),8,"")</f>
        <v/>
      </c>
    </row>
    <row r="108" spans="1:14">
      <c r="A108" s="4" t="str">
        <f t="shared" si="2"/>
        <v>WACO</v>
      </c>
      <c r="B108" s="93" t="s">
        <v>268</v>
      </c>
      <c r="C108" s="90">
        <v>300102119</v>
      </c>
      <c r="D108" s="91">
        <v>900</v>
      </c>
      <c r="E108" s="93" t="s">
        <v>20</v>
      </c>
      <c r="F108" s="66">
        <v>46241</v>
      </c>
      <c r="G108" s="67" t="s">
        <v>250</v>
      </c>
      <c r="H108" s="68"/>
      <c r="I108" s="12" t="str">
        <f t="shared" si="3"/>
        <v>NEW</v>
      </c>
      <c r="J108" s="5" t="str">
        <f>IFERROR(VLOOKUP(TableToday[[#This Row],[Prod. Order]],Components!A:B,2,FALSE), "0")</f>
        <v>SSVLN6</v>
      </c>
      <c r="K108" s="5" t="str">
        <f>IFERROR(VLOOKUP(TableToday[[#This Row],[WorkCenter]],'Resource Info'!A:B,2,FALSE), "0")</f>
        <v>SSV Line 6</v>
      </c>
      <c r="L108" s="6" t="str">
        <f>IFERROR(VLOOKUP(TableToday[[#This Row],[Pack Line]],'Resource Info'!B:C,2,FALSE),"0")</f>
        <v>SSV Conditioning</v>
      </c>
      <c r="M10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8" s="62" t="str">
        <f>IF(OR(TableToday[[#This Row],[Department]]="SSV TREATPACK", TableToday[[#This Row],[Department]]="LSV TREATPACK"),8,"")</f>
        <v/>
      </c>
    </row>
    <row r="109" spans="1:14">
      <c r="A109" s="4" t="str">
        <f t="shared" si="2"/>
        <v>WACO</v>
      </c>
      <c r="B109" s="93" t="s">
        <v>224</v>
      </c>
      <c r="C109" s="90">
        <v>1002271911</v>
      </c>
      <c r="D109" s="91">
        <v>64</v>
      </c>
      <c r="E109" s="93" t="s">
        <v>14</v>
      </c>
      <c r="F109" s="66">
        <v>46183</v>
      </c>
      <c r="G109" s="67" t="s">
        <v>21</v>
      </c>
      <c r="H109" s="68"/>
      <c r="I109" s="12" t="str">
        <f t="shared" si="3"/>
        <v>NEW</v>
      </c>
      <c r="J109" s="5" t="str">
        <f>IFERROR(VLOOKUP(TableToday[[#This Row],[Prod. Order]],Components!A:B,2,FALSE), "0")</f>
        <v>SSVLN6</v>
      </c>
      <c r="K109" s="5" t="str">
        <f>IFERROR(VLOOKUP(TableToday[[#This Row],[WorkCenter]],'Resource Info'!A:B,2,FALSE), "0")</f>
        <v>SSV Line 6</v>
      </c>
      <c r="L109" s="6" t="str">
        <f>IFERROR(VLOOKUP(TableToday[[#This Row],[Pack Line]],'Resource Info'!B:C,2,FALSE),"0")</f>
        <v>SSV Conditioning</v>
      </c>
      <c r="M10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09" s="62" t="str">
        <f>IF(OR(TableToday[[#This Row],[Department]]="SSV TREATPACK", TableToday[[#This Row],[Department]]="LSV TREATPACK"),8,"")</f>
        <v/>
      </c>
    </row>
    <row r="110" spans="1:14">
      <c r="A110" s="4" t="str">
        <f t="shared" si="2"/>
        <v>WACO</v>
      </c>
      <c r="B110" s="93" t="s">
        <v>254</v>
      </c>
      <c r="C110" s="90">
        <v>1002298025</v>
      </c>
      <c r="D110" s="91">
        <v>230</v>
      </c>
      <c r="E110" s="93" t="s">
        <v>14</v>
      </c>
      <c r="F110" s="66">
        <v>46266</v>
      </c>
      <c r="G110" s="67" t="s">
        <v>21</v>
      </c>
      <c r="H110" s="68"/>
      <c r="I110" s="12" t="str">
        <f t="shared" si="3"/>
        <v>NEW</v>
      </c>
      <c r="J110" s="5" t="str">
        <f>IFERROR(VLOOKUP(TableToday[[#This Row],[Prod. Order]],Components!A:B,2,FALSE), "0")</f>
        <v>SSVLN3</v>
      </c>
      <c r="K110" s="5" t="str">
        <f>IFERROR(VLOOKUP(TableToday[[#This Row],[WorkCenter]],'Resource Info'!A:B,2,FALSE), "0")</f>
        <v>SSV Line 3</v>
      </c>
      <c r="L110" s="6" t="str">
        <f>IFERROR(VLOOKUP(TableToday[[#This Row],[Pack Line]],'Resource Info'!B:C,2,FALSE),"0")</f>
        <v>SSV Conditioning</v>
      </c>
      <c r="M11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0" s="62" t="str">
        <f>IF(OR(TableToday[[#This Row],[Department]]="SSV TREATPACK", TableToday[[#This Row],[Department]]="LSV TREATPACK"),8,"")</f>
        <v/>
      </c>
    </row>
    <row r="111" spans="1:14">
      <c r="A111" s="4" t="str">
        <f t="shared" si="2"/>
        <v>WACO</v>
      </c>
      <c r="B111" s="93" t="s">
        <v>254</v>
      </c>
      <c r="C111" s="90">
        <v>300102399</v>
      </c>
      <c r="D111" s="91">
        <v>1400</v>
      </c>
      <c r="E111" s="93" t="s">
        <v>20</v>
      </c>
      <c r="F111" s="66">
        <v>46308</v>
      </c>
      <c r="G111" s="67" t="s">
        <v>308</v>
      </c>
      <c r="H111" s="68"/>
      <c r="I111" s="12" t="str">
        <f t="shared" si="3"/>
        <v>NEW</v>
      </c>
      <c r="J111" s="5" t="str">
        <f>IFERROR(VLOOKUP(TableToday[[#This Row],[Prod. Order]],Components!A:B,2,FALSE), "0")</f>
        <v>SSVRPR5</v>
      </c>
      <c r="K111" s="5" t="str">
        <f>IFERROR(VLOOKUP(TableToday[[#This Row],[WorkCenter]],'Resource Info'!A:B,2,FALSE), "0")</f>
        <v>SSV Line 5 Repair</v>
      </c>
      <c r="L111" s="6" t="str">
        <f>IFERROR(VLOOKUP(TableToday[[#This Row],[Pack Line]],'Resource Info'!B:C,2,FALSE),"0")</f>
        <v>SSV Conditioning</v>
      </c>
      <c r="M11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1" s="62" t="str">
        <f>IF(OR(TableToday[[#This Row],[Department]]="SSV TREATPACK", TableToday[[#This Row],[Department]]="LSV TREATPACK"),8,"")</f>
        <v/>
      </c>
    </row>
    <row r="112" spans="1:14">
      <c r="A112" s="4" t="str">
        <f t="shared" si="2"/>
        <v>SQBS</v>
      </c>
      <c r="B112" s="93" t="s">
        <v>318</v>
      </c>
      <c r="C112" s="90">
        <v>1002305615</v>
      </c>
      <c r="D112" s="91">
        <v>32.32</v>
      </c>
      <c r="E112" s="93" t="s">
        <v>14</v>
      </c>
      <c r="F112" s="66">
        <v>46293</v>
      </c>
      <c r="G112" s="67" t="s">
        <v>291</v>
      </c>
      <c r="H112" s="68"/>
      <c r="I112" s="12" t="str">
        <f t="shared" si="3"/>
        <v>NEW</v>
      </c>
      <c r="J112" s="5" t="str">
        <f>IFERROR(VLOOKUP(TableToday[[#This Row],[Prod. Order]],Components!A:B,2,FALSE), "0")</f>
        <v>SSVLN5</v>
      </c>
      <c r="K112" s="5" t="str">
        <f>IFERROR(VLOOKUP(TableToday[[#This Row],[WorkCenter]],'Resource Info'!A:B,2,FALSE), "0")</f>
        <v>SSV Line 5</v>
      </c>
      <c r="L112" s="6" t="str">
        <f>IFERROR(VLOOKUP(TableToday[[#This Row],[Pack Line]],'Resource Info'!B:C,2,FALSE),"0")</f>
        <v>SSV Conditioning</v>
      </c>
      <c r="M11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2" s="62" t="str">
        <f>IF(OR(TableToday[[#This Row],[Department]]="SSV TREATPACK", TableToday[[#This Row],[Department]]="LSV TREATPACK"),8,"")</f>
        <v/>
      </c>
    </row>
    <row r="113" spans="1:14">
      <c r="A113" s="4" t="str">
        <f t="shared" si="2"/>
        <v>BECO</v>
      </c>
      <c r="B113" s="93" t="s">
        <v>319</v>
      </c>
      <c r="C113" s="90">
        <v>1002300826</v>
      </c>
      <c r="D113" s="91">
        <v>34140</v>
      </c>
      <c r="E113" s="93" t="s">
        <v>14</v>
      </c>
      <c r="F113" s="66">
        <v>46384</v>
      </c>
      <c r="G113" s="67" t="s">
        <v>304</v>
      </c>
      <c r="H113" s="68">
        <v>4</v>
      </c>
      <c r="I113" s="12" t="str">
        <f t="shared" si="3"/>
        <v>NEW</v>
      </c>
      <c r="J113" s="5" t="str">
        <f>IFERROR(VLOOKUP(TableToday[[#This Row],[Prod. Order]],Components!A:B,2,FALSE), "0")</f>
        <v>LSVLN2</v>
      </c>
      <c r="K113" s="5" t="str">
        <f>IFERROR(VLOOKUP(TableToday[[#This Row],[WorkCenter]],'Resource Info'!A:B,2,FALSE), "0")</f>
        <v>LSV Line 2</v>
      </c>
      <c r="L113" s="6" t="str">
        <f>IFERROR(VLOOKUP(TableToday[[#This Row],[Pack Line]],'Resource Info'!B:C,2,FALSE),"0")</f>
        <v>LSV Conditioning</v>
      </c>
      <c r="M11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3" s="62" t="str">
        <f>IF(OR(TableToday[[#This Row],[Department]]="SSV TREATPACK", TableToday[[#This Row],[Department]]="LSV TREATPACK"),8,"")</f>
        <v/>
      </c>
    </row>
    <row r="114" spans="1:14">
      <c r="A114" s="4" t="str">
        <f t="shared" si="2"/>
        <v>SWCO</v>
      </c>
      <c r="B114" s="93" t="s">
        <v>320</v>
      </c>
      <c r="C114" s="90">
        <v>1002295419</v>
      </c>
      <c r="D114" s="91">
        <v>3473</v>
      </c>
      <c r="E114" s="93" t="s">
        <v>14</v>
      </c>
      <c r="F114" s="66">
        <v>46386</v>
      </c>
      <c r="G114" s="67" t="s">
        <v>321</v>
      </c>
      <c r="H114" s="68">
        <v>9</v>
      </c>
      <c r="I114" s="12" t="str">
        <f t="shared" si="3"/>
        <v>NEW</v>
      </c>
      <c r="J114" s="5" t="str">
        <f>IFERROR(VLOOKUP(TableToday[[#This Row],[Prod. Order]],Components!A:B,2,FALSE), "0")</f>
        <v>LSVLN2</v>
      </c>
      <c r="K114" s="5" t="str">
        <f>IFERROR(VLOOKUP(TableToday[[#This Row],[WorkCenter]],'Resource Info'!A:B,2,FALSE), "0")</f>
        <v>LSV Line 2</v>
      </c>
      <c r="L114" s="6" t="str">
        <f>IFERROR(VLOOKUP(TableToday[[#This Row],[Pack Line]],'Resource Info'!B:C,2,FALSE),"0")</f>
        <v>LSV Conditioning</v>
      </c>
      <c r="M11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4" s="62" t="str">
        <f>IF(OR(TableToday[[#This Row],[Department]]="SSV TREATPACK", TableToday[[#This Row],[Department]]="LSV TREATPACK"),8,"")</f>
        <v/>
      </c>
    </row>
    <row r="115" spans="1:14">
      <c r="A115" s="4" t="str">
        <f t="shared" si="2"/>
        <v>WACO</v>
      </c>
      <c r="B115" s="93" t="s">
        <v>286</v>
      </c>
      <c r="C115" s="90">
        <v>300102388</v>
      </c>
      <c r="D115" s="91">
        <v>750</v>
      </c>
      <c r="E115" s="93" t="s">
        <v>20</v>
      </c>
      <c r="F115" s="66">
        <v>46300</v>
      </c>
      <c r="G115" s="67" t="s">
        <v>287</v>
      </c>
      <c r="H115" s="68"/>
      <c r="I115" s="12" t="str">
        <f t="shared" si="3"/>
        <v>NEW</v>
      </c>
      <c r="J115" s="5" t="str">
        <f>IFERROR(VLOOKUP(TableToday[[#This Row],[Prod. Order]],Components!A:B,2,FALSE), "0")</f>
        <v>SSVLN5</v>
      </c>
      <c r="K115" s="5" t="str">
        <f>IFERROR(VLOOKUP(TableToday[[#This Row],[WorkCenter]],'Resource Info'!A:B,2,FALSE), "0")</f>
        <v>SSV Line 5</v>
      </c>
      <c r="L115" s="6" t="str">
        <f>IFERROR(VLOOKUP(TableToday[[#This Row],[Pack Line]],'Resource Info'!B:C,2,FALSE),"0")</f>
        <v>SSV Conditioning</v>
      </c>
      <c r="M11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5" s="62" t="str">
        <f>IF(OR(TableToday[[#This Row],[Department]]="SSV TREATPACK", TableToday[[#This Row],[Department]]="LSV TREATPACK"),8,"")</f>
        <v/>
      </c>
    </row>
    <row r="116" spans="1:14">
      <c r="A116" s="4" t="str">
        <f t="shared" si="2"/>
        <v>WACO</v>
      </c>
      <c r="B116" s="93" t="s">
        <v>286</v>
      </c>
      <c r="C116" s="90">
        <v>300102398</v>
      </c>
      <c r="D116" s="91">
        <v>750</v>
      </c>
      <c r="E116" s="93" t="s">
        <v>20</v>
      </c>
      <c r="F116" s="66">
        <v>46308</v>
      </c>
      <c r="G116" s="67" t="s">
        <v>309</v>
      </c>
      <c r="H116" s="68"/>
      <c r="I116" s="12" t="str">
        <f t="shared" si="3"/>
        <v>NEW</v>
      </c>
      <c r="J116" s="5" t="str">
        <f>IFERROR(VLOOKUP(TableToday[[#This Row],[Prod. Order]],Components!A:B,2,FALSE), "0")</f>
        <v>SSVRPR5</v>
      </c>
      <c r="K116" s="5" t="str">
        <f>IFERROR(VLOOKUP(TableToday[[#This Row],[WorkCenter]],'Resource Info'!A:B,2,FALSE), "0")</f>
        <v>SSV Line 5 Repair</v>
      </c>
      <c r="L116" s="6" t="str">
        <f>IFERROR(VLOOKUP(TableToday[[#This Row],[Pack Line]],'Resource Info'!B:C,2,FALSE),"0")</f>
        <v>SSV Conditioning</v>
      </c>
      <c r="M11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6" s="62" t="str">
        <f>IF(OR(TableToday[[#This Row],[Department]]="SSV TREATPACK", TableToday[[#This Row],[Department]]="LSV TREATPACK"),8,"")</f>
        <v/>
      </c>
    </row>
    <row r="117" spans="1:14">
      <c r="A117" s="4" t="str">
        <f t="shared" si="2"/>
        <v>WACO</v>
      </c>
      <c r="B117" s="93" t="s">
        <v>225</v>
      </c>
      <c r="C117" s="90">
        <v>1002271976</v>
      </c>
      <c r="D117" s="91">
        <v>72</v>
      </c>
      <c r="E117" s="93" t="s">
        <v>14</v>
      </c>
      <c r="F117" s="66">
        <v>46178</v>
      </c>
      <c r="G117" s="67" t="s">
        <v>21</v>
      </c>
      <c r="H117" s="68"/>
      <c r="I117" s="12" t="str">
        <f t="shared" si="3"/>
        <v>NEW</v>
      </c>
      <c r="J117" s="5" t="str">
        <f>IFERROR(VLOOKUP(TableToday[[#This Row],[Prod. Order]],Components!A:B,2,FALSE), "0")</f>
        <v>SSVLN6</v>
      </c>
      <c r="K117" s="5" t="str">
        <f>IFERROR(VLOOKUP(TableToday[[#This Row],[WorkCenter]],'Resource Info'!A:B,2,FALSE), "0")</f>
        <v>SSV Line 6</v>
      </c>
      <c r="L117" s="6" t="str">
        <f>IFERROR(VLOOKUP(TableToday[[#This Row],[Pack Line]],'Resource Info'!B:C,2,FALSE),"0")</f>
        <v>SSV Conditioning</v>
      </c>
      <c r="M11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7" s="62" t="str">
        <f>IF(OR(TableToday[[#This Row],[Department]]="SSV TREATPACK", TableToday[[#This Row],[Department]]="LSV TREATPACK"),8,"")</f>
        <v/>
      </c>
    </row>
    <row r="118" spans="1:14">
      <c r="A118" s="4" t="str">
        <f t="shared" si="2"/>
        <v>WACO</v>
      </c>
      <c r="B118" s="93" t="s">
        <v>225</v>
      </c>
      <c r="C118" s="90">
        <v>1002300829</v>
      </c>
      <c r="D118" s="91">
        <v>290</v>
      </c>
      <c r="E118" s="93" t="s">
        <v>14</v>
      </c>
      <c r="F118" s="66">
        <v>46280</v>
      </c>
      <c r="G118" s="67" t="s">
        <v>21</v>
      </c>
      <c r="H118" s="68"/>
      <c r="I118" s="12" t="str">
        <f t="shared" si="3"/>
        <v>NEW</v>
      </c>
      <c r="J118" s="5" t="str">
        <f>IFERROR(VLOOKUP(TableToday[[#This Row],[Prod. Order]],Components!A:B,2,FALSE), "0")</f>
        <v>SSVLN3</v>
      </c>
      <c r="K118" s="5" t="str">
        <f>IFERROR(VLOOKUP(TableToday[[#This Row],[WorkCenter]],'Resource Info'!A:B,2,FALSE), "0")</f>
        <v>SSV Line 3</v>
      </c>
      <c r="L118" s="6" t="str">
        <f>IFERROR(VLOOKUP(TableToday[[#This Row],[Pack Line]],'Resource Info'!B:C,2,FALSE),"0")</f>
        <v>SSV Conditioning</v>
      </c>
      <c r="M11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8" s="62" t="str">
        <f>IF(OR(TableToday[[#This Row],[Department]]="SSV TREATPACK", TableToday[[#This Row],[Department]]="LSV TREATPACK"),8,"")</f>
        <v/>
      </c>
    </row>
    <row r="119" spans="1:14">
      <c r="A119" s="4" t="str">
        <f t="shared" si="2"/>
        <v>WACO</v>
      </c>
      <c r="B119" s="93" t="s">
        <v>225</v>
      </c>
      <c r="C119" s="90">
        <v>1002303256</v>
      </c>
      <c r="D119" s="91">
        <v>325</v>
      </c>
      <c r="E119" s="93" t="s">
        <v>14</v>
      </c>
      <c r="F119" s="66">
        <v>46293</v>
      </c>
      <c r="G119" s="67" t="s">
        <v>21</v>
      </c>
      <c r="H119" s="68"/>
      <c r="I119" s="12" t="str">
        <f t="shared" si="3"/>
        <v>NEW</v>
      </c>
      <c r="J119" s="5" t="str">
        <f>IFERROR(VLOOKUP(TableToday[[#This Row],[Prod. Order]],Components!A:B,2,FALSE), "0")</f>
        <v>SSVLN3</v>
      </c>
      <c r="K119" s="5" t="str">
        <f>IFERROR(VLOOKUP(TableToday[[#This Row],[WorkCenter]],'Resource Info'!A:B,2,FALSE), "0")</f>
        <v>SSV Line 3</v>
      </c>
      <c r="L119" s="6" t="str">
        <f>IFERROR(VLOOKUP(TableToday[[#This Row],[Pack Line]],'Resource Info'!B:C,2,FALSE),"0")</f>
        <v>SSV Conditioning</v>
      </c>
      <c r="M11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19" s="62" t="str">
        <f>IF(OR(TableToday[[#This Row],[Department]]="SSV TREATPACK", TableToday[[#This Row],[Department]]="LSV TREATPACK"),8,"")</f>
        <v/>
      </c>
    </row>
    <row r="120" spans="1:14">
      <c r="A120" s="4" t="str">
        <f t="shared" si="2"/>
        <v>WACO</v>
      </c>
      <c r="B120" s="93" t="s">
        <v>225</v>
      </c>
      <c r="C120" s="90">
        <v>300102392</v>
      </c>
      <c r="D120" s="91">
        <v>1150</v>
      </c>
      <c r="E120" s="93" t="s">
        <v>20</v>
      </c>
      <c r="F120" s="66">
        <v>46308</v>
      </c>
      <c r="G120" s="67" t="s">
        <v>310</v>
      </c>
      <c r="H120" s="68"/>
      <c r="I120" s="12" t="str">
        <f t="shared" si="3"/>
        <v>NEW</v>
      </c>
      <c r="J120" s="5" t="str">
        <f>IFERROR(VLOOKUP(TableToday[[#This Row],[Prod. Order]],Components!A:B,2,FALSE), "0")</f>
        <v>SSVRPR5</v>
      </c>
      <c r="K120" s="5" t="str">
        <f>IFERROR(VLOOKUP(TableToday[[#This Row],[WorkCenter]],'Resource Info'!A:B,2,FALSE), "0")</f>
        <v>SSV Line 5 Repair</v>
      </c>
      <c r="L120" s="6" t="str">
        <f>IFERROR(VLOOKUP(TableToday[[#This Row],[Pack Line]],'Resource Info'!B:C,2,FALSE),"0")</f>
        <v>SSV Conditioning</v>
      </c>
      <c r="M12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0" s="62" t="str">
        <f>IF(OR(TableToday[[#This Row],[Department]]="SSV TREATPACK", TableToday[[#This Row],[Department]]="LSV TREATPACK"),8,"")</f>
        <v/>
      </c>
    </row>
    <row r="121" spans="1:14">
      <c r="A121" s="4" t="str">
        <f t="shared" si="2"/>
        <v>WACO</v>
      </c>
      <c r="B121" s="93" t="s">
        <v>225</v>
      </c>
      <c r="C121" s="90">
        <v>300102401</v>
      </c>
      <c r="D121" s="91">
        <v>750</v>
      </c>
      <c r="E121" s="93" t="s">
        <v>20</v>
      </c>
      <c r="F121" s="66">
        <v>46310</v>
      </c>
      <c r="G121" s="67" t="s">
        <v>322</v>
      </c>
      <c r="H121" s="68"/>
      <c r="I121" s="12" t="str">
        <f t="shared" si="3"/>
        <v>NEW</v>
      </c>
      <c r="J121" s="5" t="str">
        <f>IFERROR(VLOOKUP(TableToday[[#This Row],[Prod. Order]],Components!A:B,2,FALSE), "0")</f>
        <v>SSVRPR5</v>
      </c>
      <c r="K121" s="5" t="str">
        <f>IFERROR(VLOOKUP(TableToday[[#This Row],[WorkCenter]],'Resource Info'!A:B,2,FALSE), "0")</f>
        <v>SSV Line 5 Repair</v>
      </c>
      <c r="L121" s="6" t="str">
        <f>IFERROR(VLOOKUP(TableToday[[#This Row],[Pack Line]],'Resource Info'!B:C,2,FALSE),"0")</f>
        <v>SSV Conditioning</v>
      </c>
      <c r="M12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1" s="62" t="str">
        <f>IF(OR(TableToday[[#This Row],[Department]]="SSV TREATPACK", TableToday[[#This Row],[Department]]="LSV TREATPACK"),8,"")</f>
        <v/>
      </c>
    </row>
    <row r="122" spans="1:14">
      <c r="A122" s="4" t="str">
        <f t="shared" si="2"/>
        <v>WACO</v>
      </c>
      <c r="B122" s="93" t="s">
        <v>225</v>
      </c>
      <c r="C122" s="90">
        <v>300102542</v>
      </c>
      <c r="D122" s="91">
        <v>900</v>
      </c>
      <c r="E122" s="93" t="s">
        <v>20</v>
      </c>
      <c r="F122" s="66">
        <v>46310</v>
      </c>
      <c r="G122" s="67" t="s">
        <v>322</v>
      </c>
      <c r="H122" s="68"/>
      <c r="I122" s="12" t="str">
        <f t="shared" si="3"/>
        <v>NEW</v>
      </c>
      <c r="J122" s="5" t="str">
        <f>IFERROR(VLOOKUP(TableToday[[#This Row],[Prod. Order]],Components!A:B,2,FALSE), "0")</f>
        <v>SSVRPR5</v>
      </c>
      <c r="K122" s="5" t="str">
        <f>IFERROR(VLOOKUP(TableToday[[#This Row],[WorkCenter]],'Resource Info'!A:B,2,FALSE), "0")</f>
        <v>SSV Line 5 Repair</v>
      </c>
      <c r="L122" s="6" t="str">
        <f>IFERROR(VLOOKUP(TableToday[[#This Row],[Pack Line]],'Resource Info'!B:C,2,FALSE),"0")</f>
        <v>SSV Conditioning</v>
      </c>
      <c r="M12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2" s="62" t="str">
        <f>IF(OR(TableToday[[#This Row],[Department]]="SSV TREATPACK", TableToday[[#This Row],[Department]]="LSV TREATPACK"),8,"")</f>
        <v/>
      </c>
    </row>
    <row r="123" spans="1:14">
      <c r="A123" s="4" t="str">
        <f t="shared" si="2"/>
        <v>PECO</v>
      </c>
      <c r="B123" s="93" t="s">
        <v>333</v>
      </c>
      <c r="C123" s="90">
        <v>2400008091</v>
      </c>
      <c r="D123" s="91">
        <v>12159</v>
      </c>
      <c r="E123" s="93" t="s">
        <v>14</v>
      </c>
      <c r="F123" s="66">
        <v>46288</v>
      </c>
      <c r="G123" s="67" t="s">
        <v>328</v>
      </c>
      <c r="H123" s="68"/>
      <c r="I123" s="12" t="str">
        <f t="shared" si="3"/>
        <v>NEW</v>
      </c>
      <c r="J123" s="5" t="str">
        <f>IFERROR(VLOOKUP(TableToday[[#This Row],[Prod. Order]],Components!A:B,2,FALSE), "0")</f>
        <v>LSVGRVTY</v>
      </c>
      <c r="K123" s="5" t="str">
        <f>IFERROR(VLOOKUP(TableToday[[#This Row],[WorkCenter]],'Resource Info'!A:B,2,FALSE), "0")</f>
        <v>LSV Gravity</v>
      </c>
      <c r="L123" s="6" t="str">
        <f>IFERROR(VLOOKUP(TableToday[[#This Row],[Pack Line]],'Resource Info'!B:C,2,FALSE),"0")</f>
        <v>LSV Conditioning</v>
      </c>
      <c r="M12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3" s="62" t="str">
        <f>IF(OR(TableToday[[#This Row],[Department]]="SSV TREATPACK", TableToday[[#This Row],[Department]]="LSV TREATPACK"),8,"")</f>
        <v/>
      </c>
    </row>
    <row r="124" spans="1:14">
      <c r="A124" s="4" t="str">
        <f t="shared" si="2"/>
        <v>BECO</v>
      </c>
      <c r="B124" s="93" t="s">
        <v>365</v>
      </c>
      <c r="C124" s="90">
        <v>1002303193</v>
      </c>
      <c r="D124" s="91">
        <v>23050</v>
      </c>
      <c r="E124" s="93" t="s">
        <v>14</v>
      </c>
      <c r="F124" s="66">
        <v>46384</v>
      </c>
      <c r="G124" s="67" t="s">
        <v>360</v>
      </c>
      <c r="H124" s="68">
        <v>8</v>
      </c>
      <c r="I124" s="12" t="str">
        <f t="shared" si="3"/>
        <v>NEW</v>
      </c>
      <c r="J124" s="5" t="str">
        <f>IFERROR(VLOOKUP(TableToday[[#This Row],[Prod. Order]],Components!A:B,2,FALSE), "0")</f>
        <v>LSVLN2</v>
      </c>
      <c r="K124" s="5" t="str">
        <f>IFERROR(VLOOKUP(TableToday[[#This Row],[WorkCenter]],'Resource Info'!A:B,2,FALSE), "0")</f>
        <v>LSV Line 2</v>
      </c>
      <c r="L124" s="6" t="str">
        <f>IFERROR(VLOOKUP(TableToday[[#This Row],[Pack Line]],'Resource Info'!B:C,2,FALSE),"0")</f>
        <v>LSV Conditioning</v>
      </c>
      <c r="M12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4" s="62" t="str">
        <f>IF(OR(TableToday[[#This Row],[Department]]="SSV TREATPACK", TableToday[[#This Row],[Department]]="LSV TREATPACK"),8,"")</f>
        <v/>
      </c>
    </row>
    <row r="125" spans="1:14">
      <c r="A125" s="4" t="str">
        <f t="shared" si="2"/>
        <v>BRCO</v>
      </c>
      <c r="B125" s="93" t="s">
        <v>255</v>
      </c>
      <c r="C125" s="90">
        <v>1002292927</v>
      </c>
      <c r="D125" s="91">
        <v>118.5</v>
      </c>
      <c r="E125" s="93" t="s">
        <v>14</v>
      </c>
      <c r="F125" s="66">
        <v>46280</v>
      </c>
      <c r="G125" s="67" t="s">
        <v>234</v>
      </c>
      <c r="H125" s="68"/>
      <c r="I125" s="12" t="str">
        <f t="shared" si="3"/>
        <v>NEW</v>
      </c>
      <c r="J125" s="5" t="str">
        <f>IFERROR(VLOOKUP(TableToday[[#This Row],[Prod. Order]],Components!A:B,2,FALSE), "0")</f>
        <v>SSVLN6</v>
      </c>
      <c r="K125" s="5" t="str">
        <f>IFERROR(VLOOKUP(TableToday[[#This Row],[WorkCenter]],'Resource Info'!A:B,2,FALSE), "0")</f>
        <v>SSV Line 6</v>
      </c>
      <c r="L125" s="6" t="str">
        <f>IFERROR(VLOOKUP(TableToday[[#This Row],[Pack Line]],'Resource Info'!B:C,2,FALSE),"0")</f>
        <v>SSV Conditioning</v>
      </c>
      <c r="M12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5" s="62" t="str">
        <f>IF(OR(TableToday[[#This Row],[Department]]="SSV TREATPACK", TableToday[[#This Row],[Department]]="LSV TREATPACK"),8,"")</f>
        <v/>
      </c>
    </row>
    <row r="126" spans="1:14">
      <c r="A126" s="4" t="str">
        <f t="shared" si="2"/>
        <v>SWBS</v>
      </c>
      <c r="B126" s="93" t="s">
        <v>220</v>
      </c>
      <c r="C126" s="90">
        <v>2400007887</v>
      </c>
      <c r="D126" s="91">
        <v>172.5</v>
      </c>
      <c r="E126" s="93" t="s">
        <v>14</v>
      </c>
      <c r="F126" s="66">
        <v>46169</v>
      </c>
      <c r="G126" s="67" t="s">
        <v>167</v>
      </c>
      <c r="H126" s="68"/>
      <c r="I126" s="12" t="str">
        <f t="shared" si="3"/>
        <v>NEW</v>
      </c>
      <c r="J126" s="5" t="str">
        <f>IFERROR(VLOOKUP(TableToday[[#This Row],[Prod. Order]],Components!A:B,2,FALSE), "0")</f>
        <v>LSVGRVTY</v>
      </c>
      <c r="K126" s="5" t="str">
        <f>IFERROR(VLOOKUP(TableToday[[#This Row],[WorkCenter]],'Resource Info'!A:B,2,FALSE), "0")</f>
        <v>LSV Gravity</v>
      </c>
      <c r="L126" s="6" t="str">
        <f>IFERROR(VLOOKUP(TableToday[[#This Row],[Pack Line]],'Resource Info'!B:C,2,FALSE),"0")</f>
        <v>LSV Conditioning</v>
      </c>
      <c r="M12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6" s="62" t="str">
        <f>IF(OR(TableToday[[#This Row],[Department]]="SSV TREATPACK", TableToday[[#This Row],[Department]]="LSV TREATPACK"),8,"")</f>
        <v/>
      </c>
    </row>
    <row r="127" spans="1:14">
      <c r="A127" s="4" t="str">
        <f t="shared" si="2"/>
        <v>SWCO</v>
      </c>
      <c r="B127" s="93" t="s">
        <v>230</v>
      </c>
      <c r="C127" s="90">
        <v>2400007696</v>
      </c>
      <c r="D127" s="91">
        <v>766.5</v>
      </c>
      <c r="E127" s="93" t="s">
        <v>14</v>
      </c>
      <c r="F127" s="66">
        <v>46190</v>
      </c>
      <c r="G127" s="67" t="s">
        <v>167</v>
      </c>
      <c r="H127" s="68"/>
      <c r="I127" s="12" t="str">
        <f t="shared" si="3"/>
        <v>NEW</v>
      </c>
      <c r="J127" s="5" t="str">
        <f>IFERROR(VLOOKUP(TableToday[[#This Row],[Prod. Order]],Components!A:B,2,FALSE), "0")</f>
        <v>LSVGRVTY</v>
      </c>
      <c r="K127" s="5" t="str">
        <f>IFERROR(VLOOKUP(TableToday[[#This Row],[WorkCenter]],'Resource Info'!A:B,2,FALSE), "0")</f>
        <v>LSV Gravity</v>
      </c>
      <c r="L127" s="6" t="str">
        <f>IFERROR(VLOOKUP(TableToday[[#This Row],[Pack Line]],'Resource Info'!B:C,2,FALSE),"0")</f>
        <v>LSV Conditioning</v>
      </c>
      <c r="M12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7" s="62" t="str">
        <f>IF(OR(TableToday[[#This Row],[Department]]="SSV TREATPACK", TableToday[[#This Row],[Department]]="LSV TREATPACK"),8,"")</f>
        <v/>
      </c>
    </row>
    <row r="128" spans="1:14">
      <c r="A128" s="4" t="str">
        <f t="shared" si="2"/>
        <v>SWCO</v>
      </c>
      <c r="B128" s="93" t="s">
        <v>356</v>
      </c>
      <c r="C128" s="90">
        <v>1002303120</v>
      </c>
      <c r="D128" s="91">
        <v>5048.5</v>
      </c>
      <c r="E128" s="93" t="s">
        <v>14</v>
      </c>
      <c r="F128" s="66">
        <v>46371</v>
      </c>
      <c r="G128" s="67" t="s">
        <v>321</v>
      </c>
      <c r="H128" s="68">
        <v>7</v>
      </c>
      <c r="I128" s="12" t="str">
        <f t="shared" si="3"/>
        <v>NEW</v>
      </c>
      <c r="J128" s="5" t="str">
        <f>IFERROR(VLOOKUP(TableToday[[#This Row],[Prod. Order]],Components!A:B,2,FALSE), "0")</f>
        <v>LSVLN2</v>
      </c>
      <c r="K128" s="5" t="str">
        <f>IFERROR(VLOOKUP(TableToday[[#This Row],[WorkCenter]],'Resource Info'!A:B,2,FALSE), "0")</f>
        <v>LSV Line 2</v>
      </c>
      <c r="L128" s="6" t="str">
        <f>IFERROR(VLOOKUP(TableToday[[#This Row],[Pack Line]],'Resource Info'!B:C,2,FALSE),"0")</f>
        <v>LSV Conditioning</v>
      </c>
      <c r="M12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8" s="62" t="str">
        <f>IF(OR(TableToday[[#This Row],[Department]]="SSV TREATPACK", TableToday[[#This Row],[Department]]="LSV TREATPACK"),8,"")</f>
        <v/>
      </c>
    </row>
    <row r="129" spans="1:14">
      <c r="A129" s="4" t="str">
        <f t="shared" si="2"/>
        <v>SWCO</v>
      </c>
      <c r="B129" s="93" t="s">
        <v>22</v>
      </c>
      <c r="C129" s="90">
        <v>1002150398</v>
      </c>
      <c r="D129" s="91">
        <v>16400</v>
      </c>
      <c r="E129" s="93" t="s">
        <v>14</v>
      </c>
      <c r="F129" s="66">
        <v>46021</v>
      </c>
      <c r="G129" s="67" t="s">
        <v>23</v>
      </c>
      <c r="H129" s="68">
        <v>1</v>
      </c>
      <c r="I129" s="12" t="str">
        <f t="shared" si="3"/>
        <v>NEW</v>
      </c>
      <c r="J129" s="5" t="str">
        <f>IFERROR(VLOOKUP(TableToday[[#This Row],[Prod. Order]],Components!A:B,2,FALSE), "0")</f>
        <v>LSVLN1</v>
      </c>
      <c r="K129" s="5" t="str">
        <f>IFERROR(VLOOKUP(TableToday[[#This Row],[WorkCenter]],'Resource Info'!A:B,2,FALSE), "0")</f>
        <v>LSV Line 1</v>
      </c>
      <c r="L129" s="6" t="str">
        <f>IFERROR(VLOOKUP(TableToday[[#This Row],[Pack Line]],'Resource Info'!B:C,2,FALSE),"0")</f>
        <v>LSV Conditioning</v>
      </c>
      <c r="M12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29" s="62" t="str">
        <f>IF(OR(TableToday[[#This Row],[Department]]="SSV TREATPACK", TableToday[[#This Row],[Department]]="LSV TREATPACK"),8,"")</f>
        <v/>
      </c>
    </row>
    <row r="130" spans="1:14">
      <c r="A130" s="4" t="str">
        <f t="shared" ref="A130:A193" si="4">TRIM(LEFT(B130,4))</f>
        <v>SWCO</v>
      </c>
      <c r="B130" s="93" t="s">
        <v>228</v>
      </c>
      <c r="C130" s="90">
        <v>2400008011</v>
      </c>
      <c r="D130" s="91">
        <v>397</v>
      </c>
      <c r="E130" s="93" t="s">
        <v>14</v>
      </c>
      <c r="F130" s="66">
        <v>46178</v>
      </c>
      <c r="G130" s="67" t="s">
        <v>227</v>
      </c>
      <c r="H130" s="68"/>
      <c r="I130" s="12" t="str">
        <f t="shared" ref="I130:I193" si="5">"NEW"</f>
        <v>NEW</v>
      </c>
      <c r="J130" s="5" t="str">
        <f>IFERROR(VLOOKUP(TableToday[[#This Row],[Prod. Order]],Components!A:B,2,FALSE), "0")</f>
        <v>LSVGRVTY</v>
      </c>
      <c r="K130" s="5" t="str">
        <f>IFERROR(VLOOKUP(TableToday[[#This Row],[WorkCenter]],'Resource Info'!A:B,2,FALSE), "0")</f>
        <v>LSV Gravity</v>
      </c>
      <c r="L130" s="6" t="str">
        <f>IFERROR(VLOOKUP(TableToday[[#This Row],[Pack Line]],'Resource Info'!B:C,2,FALSE),"0")</f>
        <v>LSV Conditioning</v>
      </c>
      <c r="M13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0" s="62" t="str">
        <f>IF(OR(TableToday[[#This Row],[Department]]="SSV TREATPACK", TableToday[[#This Row],[Department]]="LSV TREATPACK"),8,"")</f>
        <v/>
      </c>
    </row>
    <row r="131" spans="1:14">
      <c r="A131" s="4" t="str">
        <f t="shared" si="4"/>
        <v>SWCO</v>
      </c>
      <c r="B131" s="93" t="s">
        <v>221</v>
      </c>
      <c r="C131" s="90">
        <v>2400008012</v>
      </c>
      <c r="D131" s="91">
        <v>477.452</v>
      </c>
      <c r="E131" s="93" t="s">
        <v>14</v>
      </c>
      <c r="F131" s="66">
        <v>46178</v>
      </c>
      <c r="G131" s="67" t="s">
        <v>167</v>
      </c>
      <c r="H131" s="68"/>
      <c r="I131" s="12" t="str">
        <f t="shared" si="5"/>
        <v>NEW</v>
      </c>
      <c r="J131" s="5" t="str">
        <f>IFERROR(VLOOKUP(TableToday[[#This Row],[Prod. Order]],Components!A:B,2,FALSE), "0")</f>
        <v>LSVGRVTY</v>
      </c>
      <c r="K131" s="5" t="str">
        <f>IFERROR(VLOOKUP(TableToday[[#This Row],[WorkCenter]],'Resource Info'!A:B,2,FALSE), "0")</f>
        <v>LSV Gravity</v>
      </c>
      <c r="L131" s="6" t="str">
        <f>IFERROR(VLOOKUP(TableToday[[#This Row],[Pack Line]],'Resource Info'!B:C,2,FALSE),"0")</f>
        <v>LSV Conditioning</v>
      </c>
      <c r="M13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1" s="62" t="str">
        <f>IF(OR(TableToday[[#This Row],[Department]]="SSV TREATPACK", TableToday[[#This Row],[Department]]="LSV TREATPACK"),8,"")</f>
        <v/>
      </c>
    </row>
    <row r="132" spans="1:14">
      <c r="A132" s="4" t="str">
        <f t="shared" si="4"/>
        <v>SWBS</v>
      </c>
      <c r="B132" s="93" t="s">
        <v>249</v>
      </c>
      <c r="C132" s="90">
        <v>300102184</v>
      </c>
      <c r="D132" s="91">
        <v>20</v>
      </c>
      <c r="E132" s="93" t="s">
        <v>14</v>
      </c>
      <c r="F132" s="66">
        <v>46265</v>
      </c>
      <c r="G132" s="67" t="s">
        <v>248</v>
      </c>
      <c r="H132" s="68"/>
      <c r="I132" s="12" t="str">
        <f t="shared" si="5"/>
        <v>NEW</v>
      </c>
      <c r="J132" s="5" t="str">
        <f>IFERROR(VLOOKUP(TableToday[[#This Row],[Prod. Order]],Components!A:B,2,FALSE), "0")</f>
        <v>LSVGRVTY</v>
      </c>
      <c r="K132" s="5" t="str">
        <f>IFERROR(VLOOKUP(TableToday[[#This Row],[WorkCenter]],'Resource Info'!A:B,2,FALSE), "0")</f>
        <v>LSV Gravity</v>
      </c>
      <c r="L132" s="6" t="str">
        <f>IFERROR(VLOOKUP(TableToday[[#This Row],[Pack Line]],'Resource Info'!B:C,2,FALSE),"0")</f>
        <v>LSV Conditioning</v>
      </c>
      <c r="M13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2" s="62" t="str">
        <f>IF(OR(TableToday[[#This Row],[Department]]="SSV TREATPACK", TableToday[[#This Row],[Department]]="LSV TREATPACK"),8,"")</f>
        <v/>
      </c>
    </row>
    <row r="133" spans="1:14">
      <c r="A133" s="4" t="str">
        <f t="shared" si="4"/>
        <v>WACO</v>
      </c>
      <c r="B133" s="93" t="s">
        <v>269</v>
      </c>
      <c r="C133" s="90">
        <v>1002298021</v>
      </c>
      <c r="D133" s="91">
        <v>240</v>
      </c>
      <c r="E133" s="93" t="s">
        <v>14</v>
      </c>
      <c r="F133" s="66">
        <v>46265</v>
      </c>
      <c r="G133" s="67" t="s">
        <v>21</v>
      </c>
      <c r="H133" s="68"/>
      <c r="I133" s="12" t="str">
        <f t="shared" si="5"/>
        <v>NEW</v>
      </c>
      <c r="J133" s="5" t="str">
        <f>IFERROR(VLOOKUP(TableToday[[#This Row],[Prod. Order]],Components!A:B,2,FALSE), "0")</f>
        <v>SSVLN3</v>
      </c>
      <c r="K133" s="5" t="str">
        <f>IFERROR(VLOOKUP(TableToday[[#This Row],[WorkCenter]],'Resource Info'!A:B,2,FALSE), "0")</f>
        <v>SSV Line 3</v>
      </c>
      <c r="L133" s="6" t="str">
        <f>IFERROR(VLOOKUP(TableToday[[#This Row],[Pack Line]],'Resource Info'!B:C,2,FALSE),"0")</f>
        <v>SSV Conditioning</v>
      </c>
      <c r="M13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3" s="62" t="str">
        <f>IF(OR(TableToday[[#This Row],[Department]]="SSV TREATPACK", TableToday[[#This Row],[Department]]="LSV TREATPACK"),8,"")</f>
        <v/>
      </c>
    </row>
    <row r="134" spans="1:14">
      <c r="A134" s="4" t="str">
        <f t="shared" si="4"/>
        <v>WABS</v>
      </c>
      <c r="B134" s="93" t="s">
        <v>288</v>
      </c>
      <c r="C134" s="90">
        <v>1002302358</v>
      </c>
      <c r="D134" s="91">
        <v>9</v>
      </c>
      <c r="E134" s="93" t="s">
        <v>14</v>
      </c>
      <c r="F134" s="66">
        <v>46290</v>
      </c>
      <c r="G134" s="67" t="s">
        <v>232</v>
      </c>
      <c r="H134" s="68"/>
      <c r="I134" s="12" t="str">
        <f t="shared" si="5"/>
        <v>NEW</v>
      </c>
      <c r="J134" s="5" t="str">
        <f>IFERROR(VLOOKUP(TableToday[[#This Row],[Prod. Order]],Components!A:B,2,FALSE), "0")</f>
        <v>SSVLN5</v>
      </c>
      <c r="K134" s="5" t="str">
        <f>IFERROR(VLOOKUP(TableToday[[#This Row],[WorkCenter]],'Resource Info'!A:B,2,FALSE), "0")</f>
        <v>SSV Line 5</v>
      </c>
      <c r="L134" s="6" t="str">
        <f>IFERROR(VLOOKUP(TableToday[[#This Row],[Pack Line]],'Resource Info'!B:C,2,FALSE),"0")</f>
        <v>SSV Conditioning</v>
      </c>
      <c r="M13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4" s="62" t="str">
        <f>IF(OR(TableToday[[#This Row],[Department]]="SSV TREATPACK", TableToday[[#This Row],[Department]]="LSV TREATPACK"),8,"")</f>
        <v/>
      </c>
    </row>
    <row r="135" spans="1:14">
      <c r="A135" s="4" t="str">
        <f t="shared" si="4"/>
        <v>BRCO</v>
      </c>
      <c r="B135" s="93" t="s">
        <v>372</v>
      </c>
      <c r="C135" s="90">
        <v>100028749</v>
      </c>
      <c r="D135" s="91">
        <v>13</v>
      </c>
      <c r="E135" s="93" t="s">
        <v>14</v>
      </c>
      <c r="F135" s="66">
        <v>46295</v>
      </c>
      <c r="G135" s="67" t="s">
        <v>373</v>
      </c>
      <c r="H135" s="68"/>
      <c r="I135" s="12" t="str">
        <f t="shared" si="5"/>
        <v>NEW</v>
      </c>
      <c r="J135" s="5" t="str">
        <f>IFERROR(VLOOKUP(TableToday[[#This Row],[Prod. Order]],Components!A:B,2,FALSE), "0")</f>
        <v>PASSHLTH</v>
      </c>
      <c r="K135" s="5" t="str">
        <f>IFERROR(VLOOKUP(TableToday[[#This Row],[WorkCenter]],'Resource Info'!A:B,2,FALSE), "0")</f>
        <v>Seed Health</v>
      </c>
      <c r="L135" s="6" t="str">
        <f>IFERROR(VLOOKUP(TableToday[[#This Row],[Pack Line]],'Resource Info'!B:C,2,FALSE),"0")</f>
        <v>Seed Health</v>
      </c>
      <c r="M13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5" s="62" t="str">
        <f>IF(OR(TableToday[[#This Row],[Department]]="SSV TREATPACK", TableToday[[#This Row],[Department]]="LSV TREATPACK"),8,"")</f>
        <v/>
      </c>
    </row>
    <row r="136" spans="1:14">
      <c r="A136" s="4" t="str">
        <f t="shared" si="4"/>
        <v>SWCO</v>
      </c>
      <c r="B136" s="93" t="s">
        <v>242</v>
      </c>
      <c r="C136" s="90">
        <v>1002282491</v>
      </c>
      <c r="D136" s="91">
        <v>462.5</v>
      </c>
      <c r="E136" s="93" t="s">
        <v>14</v>
      </c>
      <c r="F136" s="66">
        <v>46219</v>
      </c>
      <c r="G136" s="67" t="s">
        <v>233</v>
      </c>
      <c r="H136" s="68"/>
      <c r="I136" s="12" t="str">
        <f t="shared" si="5"/>
        <v>NEW</v>
      </c>
      <c r="J136" s="5" t="str">
        <f>IFERROR(VLOOKUP(TableToday[[#This Row],[Prod. Order]],Components!A:B,2,FALSE), "0")</f>
        <v>LSVLN2</v>
      </c>
      <c r="K136" s="5" t="str">
        <f>IFERROR(VLOOKUP(TableToday[[#This Row],[WorkCenter]],'Resource Info'!A:B,2,FALSE), "0")</f>
        <v>LSV Line 2</v>
      </c>
      <c r="L136" s="6" t="str">
        <f>IFERROR(VLOOKUP(TableToday[[#This Row],[Pack Line]],'Resource Info'!B:C,2,FALSE),"0")</f>
        <v>LSV Conditioning</v>
      </c>
      <c r="M13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6" s="62" t="str">
        <f>IF(OR(TableToday[[#This Row],[Department]]="SSV TREATPACK", TableToday[[#This Row],[Department]]="LSV TREATPACK"),8,"")</f>
        <v/>
      </c>
    </row>
    <row r="137" spans="1:14">
      <c r="A137" s="4" t="str">
        <f t="shared" si="4"/>
        <v>SWCO</v>
      </c>
      <c r="B137" s="93" t="s">
        <v>388</v>
      </c>
      <c r="C137" s="90">
        <v>1002309463</v>
      </c>
      <c r="D137" s="91">
        <v>216.5</v>
      </c>
      <c r="E137" s="93" t="s">
        <v>14</v>
      </c>
      <c r="F137" s="66">
        <v>46387</v>
      </c>
      <c r="G137" s="67" t="s">
        <v>233</v>
      </c>
      <c r="H137" s="68">
        <v>9</v>
      </c>
      <c r="I137" s="12" t="str">
        <f t="shared" si="5"/>
        <v>NEW</v>
      </c>
      <c r="J137" s="5" t="str">
        <f>IFERROR(VLOOKUP(TableToday[[#This Row],[Prod. Order]],Components!A:B,2,FALSE), "0")</f>
        <v>LSVLN2</v>
      </c>
      <c r="K137" s="5" t="str">
        <f>IFERROR(VLOOKUP(TableToday[[#This Row],[WorkCenter]],'Resource Info'!A:B,2,FALSE), "0")</f>
        <v>LSV Line 2</v>
      </c>
      <c r="L137" s="6" t="str">
        <f>IFERROR(VLOOKUP(TableToday[[#This Row],[Pack Line]],'Resource Info'!B:C,2,FALSE),"0")</f>
        <v>LSV Conditioning</v>
      </c>
      <c r="M13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7" s="62" t="str">
        <f>IF(OR(TableToday[[#This Row],[Department]]="SSV TREATPACK", TableToday[[#This Row],[Department]]="LSV TREATPACK"),8,"")</f>
        <v/>
      </c>
    </row>
    <row r="138" spans="1:14">
      <c r="A138" s="4" t="str">
        <f t="shared" si="4"/>
        <v>SWCO</v>
      </c>
      <c r="B138" s="93" t="s">
        <v>239</v>
      </c>
      <c r="C138" s="90">
        <v>300102065</v>
      </c>
      <c r="D138" s="91">
        <v>4202.7349999999997</v>
      </c>
      <c r="E138" s="93" t="s">
        <v>14</v>
      </c>
      <c r="F138" s="66">
        <v>46213</v>
      </c>
      <c r="G138" s="67" t="s">
        <v>226</v>
      </c>
      <c r="H138" s="68"/>
      <c r="I138" s="12" t="str">
        <f t="shared" si="5"/>
        <v>NEW</v>
      </c>
      <c r="J138" s="5" t="str">
        <f>IFERROR(VLOOKUP(TableToday[[#This Row],[Prod. Order]],Components!A:B,2,FALSE), "0")</f>
        <v>LSVGRVTY</v>
      </c>
      <c r="K138" s="5" t="str">
        <f>IFERROR(VLOOKUP(TableToday[[#This Row],[WorkCenter]],'Resource Info'!A:B,2,FALSE), "0")</f>
        <v>LSV Gravity</v>
      </c>
      <c r="L138" s="6" t="str">
        <f>IFERROR(VLOOKUP(TableToday[[#This Row],[Pack Line]],'Resource Info'!B:C,2,FALSE),"0")</f>
        <v>LSV Conditioning</v>
      </c>
      <c r="M13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8" s="62" t="str">
        <f>IF(OR(TableToday[[#This Row],[Department]]="SSV TREATPACK", TableToday[[#This Row],[Department]]="LSV TREATPACK"),8,"")</f>
        <v/>
      </c>
    </row>
    <row r="139" spans="1:14">
      <c r="A139" s="4" t="str">
        <f t="shared" si="4"/>
        <v>BEBS</v>
      </c>
      <c r="B139" s="93" t="s">
        <v>24</v>
      </c>
      <c r="C139" s="90">
        <v>1002163895</v>
      </c>
      <c r="D139" s="91">
        <v>3495</v>
      </c>
      <c r="E139" s="93" t="s">
        <v>14</v>
      </c>
      <c r="F139" s="66">
        <v>45986</v>
      </c>
      <c r="G139" s="67" t="s">
        <v>25</v>
      </c>
      <c r="H139" s="68">
        <v>3</v>
      </c>
      <c r="I139" s="12" t="str">
        <f t="shared" si="5"/>
        <v>NEW</v>
      </c>
      <c r="J139" s="5" t="str">
        <f>IFERROR(VLOOKUP(TableToday[[#This Row],[Prod. Order]],Components!A:B,2,FALSE), "0")</f>
        <v>LSVLN2</v>
      </c>
      <c r="K139" s="5" t="str">
        <f>IFERROR(VLOOKUP(TableToday[[#This Row],[WorkCenter]],'Resource Info'!A:B,2,FALSE), "0")</f>
        <v>LSV Line 2</v>
      </c>
      <c r="L139" s="6" t="str">
        <f>IFERROR(VLOOKUP(TableToday[[#This Row],[Pack Line]],'Resource Info'!B:C,2,FALSE),"0")</f>
        <v>LSV Conditioning</v>
      </c>
      <c r="M13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39" s="62" t="str">
        <f>IF(OR(TableToday[[#This Row],[Department]]="SSV TREATPACK", TableToday[[#This Row],[Department]]="LSV TREATPACK"),8,"")</f>
        <v/>
      </c>
    </row>
    <row r="140" spans="1:14">
      <c r="A140" s="4" t="str">
        <f t="shared" si="4"/>
        <v>BEBS</v>
      </c>
      <c r="B140" s="93" t="s">
        <v>366</v>
      </c>
      <c r="C140" s="90">
        <v>1002303237</v>
      </c>
      <c r="D140" s="91">
        <v>1110</v>
      </c>
      <c r="E140" s="93" t="s">
        <v>14</v>
      </c>
      <c r="F140" s="66">
        <v>46384</v>
      </c>
      <c r="G140" s="67" t="s">
        <v>25</v>
      </c>
      <c r="H140" s="68">
        <v>9</v>
      </c>
      <c r="I140" s="12" t="str">
        <f t="shared" si="5"/>
        <v>NEW</v>
      </c>
      <c r="J140" s="5" t="str">
        <f>IFERROR(VLOOKUP(TableToday[[#This Row],[Prod. Order]],Components!A:B,2,FALSE), "0")</f>
        <v>LSVLN2</v>
      </c>
      <c r="K140" s="5" t="str">
        <f>IFERROR(VLOOKUP(TableToday[[#This Row],[WorkCenter]],'Resource Info'!A:B,2,FALSE), "0")</f>
        <v>LSV Line 2</v>
      </c>
      <c r="L140" s="6" t="str">
        <f>IFERROR(VLOOKUP(TableToday[[#This Row],[Pack Line]],'Resource Info'!B:C,2,FALSE),"0")</f>
        <v>LSV Conditioning</v>
      </c>
      <c r="M14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0" s="62" t="str">
        <f>IF(OR(TableToday[[#This Row],[Department]]="SSV TREATPACK", TableToday[[#This Row],[Department]]="LSV TREATPACK"),8,"")</f>
        <v/>
      </c>
    </row>
    <row r="141" spans="1:14">
      <c r="A141" s="4" t="str">
        <f t="shared" si="4"/>
        <v>BEBS</v>
      </c>
      <c r="B141" s="93" t="s">
        <v>367</v>
      </c>
      <c r="C141" s="90">
        <v>1002303238</v>
      </c>
      <c r="D141" s="91">
        <v>1720</v>
      </c>
      <c r="E141" s="93" t="s">
        <v>14</v>
      </c>
      <c r="F141" s="66">
        <v>46384</v>
      </c>
      <c r="G141" s="67" t="s">
        <v>25</v>
      </c>
      <c r="H141" s="68">
        <v>1</v>
      </c>
      <c r="I141" s="12" t="str">
        <f t="shared" si="5"/>
        <v>NEW</v>
      </c>
      <c r="J141" s="5" t="str">
        <f>IFERROR(VLOOKUP(TableToday[[#This Row],[Prod. Order]],Components!A:B,2,FALSE), "0")</f>
        <v>LSVLN2</v>
      </c>
      <c r="K141" s="5" t="str">
        <f>IFERROR(VLOOKUP(TableToday[[#This Row],[WorkCenter]],'Resource Info'!A:B,2,FALSE), "0")</f>
        <v>LSV Line 2</v>
      </c>
      <c r="L141" s="6" t="str">
        <f>IFERROR(VLOOKUP(TableToday[[#This Row],[Pack Line]],'Resource Info'!B:C,2,FALSE),"0")</f>
        <v>LSV Conditioning</v>
      </c>
      <c r="M14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1" s="62" t="str">
        <f>IF(OR(TableToday[[#This Row],[Department]]="SSV TREATPACK", TableToday[[#This Row],[Department]]="LSV TREATPACK"),8,"")</f>
        <v/>
      </c>
    </row>
    <row r="142" spans="1:14">
      <c r="A142" s="4" t="str">
        <f t="shared" si="4"/>
        <v>SQBS</v>
      </c>
      <c r="B142" s="93" t="s">
        <v>389</v>
      </c>
      <c r="C142" s="90">
        <v>1002309502</v>
      </c>
      <c r="D142" s="91">
        <v>34.299999999999997</v>
      </c>
      <c r="E142" s="93" t="s">
        <v>14</v>
      </c>
      <c r="F142" s="66">
        <v>46311</v>
      </c>
      <c r="G142" s="67" t="s">
        <v>291</v>
      </c>
      <c r="H142" s="68"/>
      <c r="I142" s="12" t="str">
        <f t="shared" si="5"/>
        <v>NEW</v>
      </c>
      <c r="J142" s="5" t="str">
        <f>IFERROR(VLOOKUP(TableToday[[#This Row],[Prod. Order]],Components!A:B,2,FALSE), "0")</f>
        <v>SSVLN5</v>
      </c>
      <c r="K142" s="5" t="str">
        <f>IFERROR(VLOOKUP(TableToday[[#This Row],[WorkCenter]],'Resource Info'!A:B,2,FALSE), "0")</f>
        <v>SSV Line 5</v>
      </c>
      <c r="L142" s="6" t="str">
        <f>IFERROR(VLOOKUP(TableToday[[#This Row],[Pack Line]],'Resource Info'!B:C,2,FALSE),"0")</f>
        <v>SSV Conditioning</v>
      </c>
      <c r="M14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2" s="62" t="str">
        <f>IF(OR(TableToday[[#This Row],[Department]]="SSV TREATPACK", TableToday[[#This Row],[Department]]="LSV TREATPACK"),8,"")</f>
        <v/>
      </c>
    </row>
    <row r="143" spans="1:14">
      <c r="A143" s="4" t="str">
        <f t="shared" si="4"/>
        <v>SWCO</v>
      </c>
      <c r="B143" s="93" t="s">
        <v>243</v>
      </c>
      <c r="C143" s="90">
        <v>300102029</v>
      </c>
      <c r="D143" s="91">
        <v>184.5</v>
      </c>
      <c r="E143" s="93" t="s">
        <v>14</v>
      </c>
      <c r="F143" s="66">
        <v>46225</v>
      </c>
      <c r="G143" s="67" t="s">
        <v>244</v>
      </c>
      <c r="H143" s="68"/>
      <c r="I143" s="12" t="str">
        <f t="shared" si="5"/>
        <v>NEW</v>
      </c>
      <c r="J143" s="5" t="str">
        <f>IFERROR(VLOOKUP(TableToday[[#This Row],[Prod. Order]],Components!A:B,2,FALSE), "0")</f>
        <v>LSVGRVTY</v>
      </c>
      <c r="K143" s="5" t="str">
        <f>IFERROR(VLOOKUP(TableToday[[#This Row],[WorkCenter]],'Resource Info'!A:B,2,FALSE), "0")</f>
        <v>LSV Gravity</v>
      </c>
      <c r="L143" s="6" t="str">
        <f>IFERROR(VLOOKUP(TableToday[[#This Row],[Pack Line]],'Resource Info'!B:C,2,FALSE),"0")</f>
        <v>LSV Conditioning</v>
      </c>
      <c r="M14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3" s="62" t="str">
        <f>IF(OR(TableToday[[#This Row],[Department]]="SSV TREATPACK", TableToday[[#This Row],[Department]]="LSV TREATPACK"),8,"")</f>
        <v/>
      </c>
    </row>
    <row r="144" spans="1:14">
      <c r="A144" s="4" t="str">
        <f t="shared" si="4"/>
        <v>MEBS</v>
      </c>
      <c r="B144" s="93" t="s">
        <v>323</v>
      </c>
      <c r="C144" s="90">
        <v>1002305614</v>
      </c>
      <c r="D144" s="91">
        <v>14.65</v>
      </c>
      <c r="E144" s="93" t="s">
        <v>14</v>
      </c>
      <c r="F144" s="66">
        <v>46293</v>
      </c>
      <c r="G144" s="67" t="s">
        <v>317</v>
      </c>
      <c r="H144" s="68"/>
      <c r="I144" s="12" t="str">
        <f t="shared" si="5"/>
        <v>NEW</v>
      </c>
      <c r="J144" s="5" t="str">
        <f>IFERROR(VLOOKUP(TableToday[[#This Row],[Prod. Order]],Components!A:B,2,FALSE), "0")</f>
        <v>SSVLN5</v>
      </c>
      <c r="K144" s="5" t="str">
        <f>IFERROR(VLOOKUP(TableToday[[#This Row],[WorkCenter]],'Resource Info'!A:B,2,FALSE), "0")</f>
        <v>SSV Line 5</v>
      </c>
      <c r="L144" s="6" t="str">
        <f>IFERROR(VLOOKUP(TableToday[[#This Row],[Pack Line]],'Resource Info'!B:C,2,FALSE),"0")</f>
        <v>SSV Conditioning</v>
      </c>
      <c r="M14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4" s="62" t="str">
        <f>IF(OR(TableToday[[#This Row],[Department]]="SSV TREATPACK", TableToday[[#This Row],[Department]]="LSV TREATPACK"),8,"")</f>
        <v/>
      </c>
    </row>
    <row r="145" spans="1:14">
      <c r="A145" s="4" t="str">
        <f t="shared" si="4"/>
        <v>MEBS</v>
      </c>
      <c r="B145" s="93" t="s">
        <v>390</v>
      </c>
      <c r="C145" s="90">
        <v>1002309501</v>
      </c>
      <c r="D145" s="91">
        <v>26.71</v>
      </c>
      <c r="E145" s="93" t="s">
        <v>14</v>
      </c>
      <c r="F145" s="66">
        <v>46310</v>
      </c>
      <c r="G145" s="67" t="s">
        <v>317</v>
      </c>
      <c r="H145" s="68"/>
      <c r="I145" s="12" t="str">
        <f t="shared" si="5"/>
        <v>NEW</v>
      </c>
      <c r="J145" s="5" t="str">
        <f>IFERROR(VLOOKUP(TableToday[[#This Row],[Prod. Order]],Components!A:B,2,FALSE), "0")</f>
        <v>SSVLN5</v>
      </c>
      <c r="K145" s="5" t="str">
        <f>IFERROR(VLOOKUP(TableToday[[#This Row],[WorkCenter]],'Resource Info'!A:B,2,FALSE), "0")</f>
        <v>SSV Line 5</v>
      </c>
      <c r="L145" s="6" t="str">
        <f>IFERROR(VLOOKUP(TableToday[[#This Row],[Pack Line]],'Resource Info'!B:C,2,FALSE),"0")</f>
        <v>SSV Conditioning</v>
      </c>
      <c r="M14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5" s="62" t="str">
        <f>IF(OR(TableToday[[#This Row],[Department]]="SSV TREATPACK", TableToday[[#This Row],[Department]]="LSV TREATPACK"),8,"")</f>
        <v/>
      </c>
    </row>
    <row r="146" spans="1:14">
      <c r="A146" s="4" t="str">
        <f t="shared" si="4"/>
        <v>BRCO</v>
      </c>
      <c r="B146" s="93" t="s">
        <v>374</v>
      </c>
      <c r="C146" s="90">
        <v>100028750</v>
      </c>
      <c r="D146" s="91">
        <v>6.79</v>
      </c>
      <c r="E146" s="93" t="s">
        <v>14</v>
      </c>
      <c r="F146" s="66">
        <v>46295</v>
      </c>
      <c r="G146" s="67" t="s">
        <v>375</v>
      </c>
      <c r="H146" s="68"/>
      <c r="I146" s="12" t="str">
        <f t="shared" si="5"/>
        <v>NEW</v>
      </c>
      <c r="J146" s="5" t="str">
        <f>IFERROR(VLOOKUP(TableToday[[#This Row],[Prod. Order]],Components!A:B,2,FALSE), "0")</f>
        <v>PASSHLTH</v>
      </c>
      <c r="K146" s="5" t="str">
        <f>IFERROR(VLOOKUP(TableToday[[#This Row],[WorkCenter]],'Resource Info'!A:B,2,FALSE), "0")</f>
        <v>Seed Health</v>
      </c>
      <c r="L146" s="6" t="str">
        <f>IFERROR(VLOOKUP(TableToday[[#This Row],[Pack Line]],'Resource Info'!B:C,2,FALSE),"0")</f>
        <v>Seed Health</v>
      </c>
      <c r="M14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6" s="62" t="str">
        <f>IF(OR(TableToday[[#This Row],[Department]]="SSV TREATPACK", TableToday[[#This Row],[Department]]="LSV TREATPACK"),8,"")</f>
        <v/>
      </c>
    </row>
    <row r="147" spans="1:14">
      <c r="A147" s="4" t="str">
        <f t="shared" si="4"/>
        <v>SWBS</v>
      </c>
      <c r="B147" s="93" t="s">
        <v>358</v>
      </c>
      <c r="C147" s="90">
        <v>2400008094</v>
      </c>
      <c r="D147" s="91">
        <v>67.5</v>
      </c>
      <c r="E147" s="93" t="s">
        <v>14</v>
      </c>
      <c r="F147" s="66">
        <v>46293</v>
      </c>
      <c r="G147" s="67" t="s">
        <v>344</v>
      </c>
      <c r="H147" s="68"/>
      <c r="I147" s="12" t="str">
        <f t="shared" si="5"/>
        <v>NEW</v>
      </c>
      <c r="J147" s="5" t="str">
        <f>IFERROR(VLOOKUP(TableToday[[#This Row],[Prod. Order]],Components!A:B,2,FALSE), "0")</f>
        <v>LSVGRVTY</v>
      </c>
      <c r="K147" s="5" t="str">
        <f>IFERROR(VLOOKUP(TableToday[[#This Row],[WorkCenter]],'Resource Info'!A:B,2,FALSE), "0")</f>
        <v>LSV Gravity</v>
      </c>
      <c r="L147" s="6" t="str">
        <f>IFERROR(VLOOKUP(TableToday[[#This Row],[Pack Line]],'Resource Info'!B:C,2,FALSE),"0")</f>
        <v>LSV Conditioning</v>
      </c>
      <c r="M14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7" s="62" t="str">
        <f>IF(OR(TableToday[[#This Row],[Department]]="SSV TREATPACK", TableToday[[#This Row],[Department]]="LSV TREATPACK"),8,"")</f>
        <v/>
      </c>
    </row>
    <row r="148" spans="1:14">
      <c r="A148" s="4" t="str">
        <f t="shared" si="4"/>
        <v>SWBS</v>
      </c>
      <c r="B148" s="93" t="s">
        <v>251</v>
      </c>
      <c r="C148" s="90">
        <v>2400008151</v>
      </c>
      <c r="D148" s="91">
        <v>347.5</v>
      </c>
      <c r="E148" s="93" t="s">
        <v>14</v>
      </c>
      <c r="F148" s="66">
        <v>46233</v>
      </c>
      <c r="G148" s="67" t="s">
        <v>252</v>
      </c>
      <c r="H148" s="68"/>
      <c r="I148" s="12" t="str">
        <f t="shared" si="5"/>
        <v>NEW</v>
      </c>
      <c r="J148" s="5" t="str">
        <f>IFERROR(VLOOKUP(TableToday[[#This Row],[Prod. Order]],Components!A:B,2,FALSE), "0")</f>
        <v>LSVGRVTY</v>
      </c>
      <c r="K148" s="5" t="str">
        <f>IFERROR(VLOOKUP(TableToday[[#This Row],[WorkCenter]],'Resource Info'!A:B,2,FALSE), "0")</f>
        <v>LSV Gravity</v>
      </c>
      <c r="L148" s="6" t="str">
        <f>IFERROR(VLOOKUP(TableToday[[#This Row],[Pack Line]],'Resource Info'!B:C,2,FALSE),"0")</f>
        <v>LSV Conditioning</v>
      </c>
      <c r="M14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8" s="62" t="str">
        <f>IF(OR(TableToday[[#This Row],[Department]]="SSV TREATPACK", TableToday[[#This Row],[Department]]="LSV TREATPACK"),8,"")</f>
        <v/>
      </c>
    </row>
    <row r="149" spans="1:14">
      <c r="A149" s="4" t="str">
        <f t="shared" si="4"/>
        <v>SQCO</v>
      </c>
      <c r="B149" s="93" t="s">
        <v>292</v>
      </c>
      <c r="C149" s="90">
        <v>100028748</v>
      </c>
      <c r="D149" s="91">
        <v>1630.2370000000001</v>
      </c>
      <c r="E149" s="93" t="s">
        <v>20</v>
      </c>
      <c r="F149" s="66">
        <v>46282</v>
      </c>
      <c r="G149" s="67" t="s">
        <v>293</v>
      </c>
      <c r="H149" s="68"/>
      <c r="I149" s="12" t="str">
        <f t="shared" si="5"/>
        <v>NEW</v>
      </c>
      <c r="J149" s="5" t="str">
        <f>IFERROR(VLOOKUP(TableToday[[#This Row],[Prod. Order]],Components!A:B,2,FALSE), "0")</f>
        <v>SSVLN5</v>
      </c>
      <c r="K149" s="5" t="str">
        <f>IFERROR(VLOOKUP(TableToday[[#This Row],[WorkCenter]],'Resource Info'!A:B,2,FALSE), "0")</f>
        <v>SSV Line 5</v>
      </c>
      <c r="L149" s="6" t="str">
        <f>IFERROR(VLOOKUP(TableToday[[#This Row],[Pack Line]],'Resource Info'!B:C,2,FALSE),"0")</f>
        <v>SSV Conditioning</v>
      </c>
      <c r="M14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49" s="62" t="str">
        <f>IF(OR(TableToday[[#This Row],[Department]]="SSV TREATPACK", TableToday[[#This Row],[Department]]="LSV TREATPACK"),8,"")</f>
        <v/>
      </c>
    </row>
    <row r="150" spans="1:14">
      <c r="A150" s="4" t="str">
        <f t="shared" si="4"/>
        <v>CFCO</v>
      </c>
      <c r="B150" s="93" t="s">
        <v>262</v>
      </c>
      <c r="C150" s="90">
        <v>100028681</v>
      </c>
      <c r="D150" s="91">
        <v>19</v>
      </c>
      <c r="E150" s="93" t="s">
        <v>14</v>
      </c>
      <c r="F150" s="66">
        <v>46260</v>
      </c>
      <c r="G150" s="67" t="s">
        <v>235</v>
      </c>
      <c r="H150" s="68"/>
      <c r="I150" s="12" t="str">
        <f t="shared" si="5"/>
        <v>NEW</v>
      </c>
      <c r="J150" s="5" t="str">
        <f>IFERROR(VLOOKUP(TableToday[[#This Row],[Prod. Order]],Components!A:B,2,FALSE), "0")</f>
        <v>PASSHLTH</v>
      </c>
      <c r="K150" s="5" t="str">
        <f>IFERROR(VLOOKUP(TableToday[[#This Row],[WorkCenter]],'Resource Info'!A:B,2,FALSE), "0")</f>
        <v>Seed Health</v>
      </c>
      <c r="L150" s="6" t="str">
        <f>IFERROR(VLOOKUP(TableToday[[#This Row],[Pack Line]],'Resource Info'!B:C,2,FALSE),"0")</f>
        <v>Seed Health</v>
      </c>
      <c r="M15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0" s="62" t="str">
        <f>IF(OR(TableToday[[#This Row],[Department]]="SSV TREATPACK", TableToday[[#This Row],[Department]]="LSV TREATPACK"),8,"")</f>
        <v/>
      </c>
    </row>
    <row r="151" spans="1:14">
      <c r="A151" s="4" t="str">
        <f t="shared" si="4"/>
        <v>SQBS</v>
      </c>
      <c r="B151" s="93" t="s">
        <v>391</v>
      </c>
      <c r="C151" s="90">
        <v>1002309503</v>
      </c>
      <c r="D151" s="91">
        <v>35.049999999999997</v>
      </c>
      <c r="E151" s="93" t="s">
        <v>14</v>
      </c>
      <c r="F151" s="66">
        <v>46314</v>
      </c>
      <c r="G151" s="67" t="s">
        <v>291</v>
      </c>
      <c r="H151" s="68"/>
      <c r="I151" s="12" t="str">
        <f t="shared" si="5"/>
        <v>NEW</v>
      </c>
      <c r="J151" s="5" t="str">
        <f>IFERROR(VLOOKUP(TableToday[[#This Row],[Prod. Order]],Components!A:B,2,FALSE), "0")</f>
        <v>SSVLN5</v>
      </c>
      <c r="K151" s="5" t="str">
        <f>IFERROR(VLOOKUP(TableToday[[#This Row],[WorkCenter]],'Resource Info'!A:B,2,FALSE), "0")</f>
        <v>SSV Line 5</v>
      </c>
      <c r="L151" s="6" t="str">
        <f>IFERROR(VLOOKUP(TableToday[[#This Row],[Pack Line]],'Resource Info'!B:C,2,FALSE),"0")</f>
        <v>SSV Conditioning</v>
      </c>
      <c r="M15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1" s="62" t="str">
        <f>IF(OR(TableToday[[#This Row],[Department]]="SSV TREATPACK", TableToday[[#This Row],[Department]]="LSV TREATPACK"),8,"")</f>
        <v/>
      </c>
    </row>
    <row r="152" spans="1:14">
      <c r="A152" s="4" t="str">
        <f t="shared" si="4"/>
        <v>SQBS</v>
      </c>
      <c r="B152" s="93" t="s">
        <v>392</v>
      </c>
      <c r="C152" s="90">
        <v>1002309504</v>
      </c>
      <c r="D152" s="91">
        <v>22.8</v>
      </c>
      <c r="E152" s="93" t="s">
        <v>14</v>
      </c>
      <c r="F152" s="66">
        <v>46314</v>
      </c>
      <c r="G152" s="67" t="s">
        <v>291</v>
      </c>
      <c r="H152" s="68"/>
      <c r="I152" s="12" t="str">
        <f t="shared" si="5"/>
        <v>NEW</v>
      </c>
      <c r="J152" s="5" t="str">
        <f>IFERROR(VLOOKUP(TableToday[[#This Row],[Prod. Order]],Components!A:B,2,FALSE), "0")</f>
        <v>SSVLN5</v>
      </c>
      <c r="K152" s="5" t="str">
        <f>IFERROR(VLOOKUP(TableToday[[#This Row],[WorkCenter]],'Resource Info'!A:B,2,FALSE), "0")</f>
        <v>SSV Line 5</v>
      </c>
      <c r="L152" s="6" t="str">
        <f>IFERROR(VLOOKUP(TableToday[[#This Row],[Pack Line]],'Resource Info'!B:C,2,FALSE),"0")</f>
        <v>SSV Conditioning</v>
      </c>
      <c r="M15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2" s="62" t="str">
        <f>IF(OR(TableToday[[#This Row],[Department]]="SSV TREATPACK", TableToday[[#This Row],[Department]]="LSV TREATPACK"),8,"")</f>
        <v/>
      </c>
    </row>
    <row r="153" spans="1:14">
      <c r="A153" s="4" t="str">
        <f t="shared" si="4"/>
        <v>SQBS</v>
      </c>
      <c r="B153" s="93" t="s">
        <v>300</v>
      </c>
      <c r="C153" s="90">
        <v>1002304238</v>
      </c>
      <c r="D153" s="91">
        <v>2.91</v>
      </c>
      <c r="E153" s="93" t="s">
        <v>14</v>
      </c>
      <c r="F153" s="66">
        <v>46281</v>
      </c>
      <c r="G153" s="67" t="s">
        <v>291</v>
      </c>
      <c r="H153" s="68"/>
      <c r="I153" s="12" t="str">
        <f t="shared" si="5"/>
        <v>NEW</v>
      </c>
      <c r="J153" s="5" t="str">
        <f>IFERROR(VLOOKUP(TableToday[[#This Row],[Prod. Order]],Components!A:B,2,FALSE), "0")</f>
        <v>SSVLN5</v>
      </c>
      <c r="K153" s="5" t="str">
        <f>IFERROR(VLOOKUP(TableToday[[#This Row],[WorkCenter]],'Resource Info'!A:B,2,FALSE), "0")</f>
        <v>SSV Line 5</v>
      </c>
      <c r="L153" s="6" t="str">
        <f>IFERROR(VLOOKUP(TableToday[[#This Row],[Pack Line]],'Resource Info'!B:C,2,FALSE),"0")</f>
        <v>SSV Conditioning</v>
      </c>
      <c r="M15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3" s="62" t="str">
        <f>IF(OR(TableToday[[#This Row],[Department]]="SSV TREATPACK", TableToday[[#This Row],[Department]]="LSV TREATPACK"),8,"")</f>
        <v/>
      </c>
    </row>
    <row r="154" spans="1:14">
      <c r="A154" s="4" t="str">
        <f t="shared" si="4"/>
        <v>SWCO</v>
      </c>
      <c r="B154" s="93" t="s">
        <v>229</v>
      </c>
      <c r="C154" s="90">
        <v>2400008019</v>
      </c>
      <c r="D154" s="91">
        <v>92</v>
      </c>
      <c r="E154" s="93" t="s">
        <v>14</v>
      </c>
      <c r="F154" s="66">
        <v>46178</v>
      </c>
      <c r="G154" s="67" t="s">
        <v>167</v>
      </c>
      <c r="H154" s="68"/>
      <c r="I154" s="12" t="str">
        <f t="shared" si="5"/>
        <v>NEW</v>
      </c>
      <c r="J154" s="5" t="str">
        <f>IFERROR(VLOOKUP(TableToday[[#This Row],[Prod. Order]],Components!A:B,2,FALSE), "0")</f>
        <v>LSVGRVTY</v>
      </c>
      <c r="K154" s="5" t="str">
        <f>IFERROR(VLOOKUP(TableToday[[#This Row],[WorkCenter]],'Resource Info'!A:B,2,FALSE), "0")</f>
        <v>LSV Gravity</v>
      </c>
      <c r="L154" s="6" t="str">
        <f>IFERROR(VLOOKUP(TableToday[[#This Row],[Pack Line]],'Resource Info'!B:C,2,FALSE),"0")</f>
        <v>LSV Conditioning</v>
      </c>
      <c r="M15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4" s="62" t="str">
        <f>IF(OR(TableToday[[#This Row],[Department]]="SSV TREATPACK", TableToday[[#This Row],[Department]]="LSV TREATPACK"),8,"")</f>
        <v/>
      </c>
    </row>
    <row r="155" spans="1:14">
      <c r="A155" s="4" t="str">
        <f t="shared" si="4"/>
        <v>SWCO</v>
      </c>
      <c r="B155" s="93" t="s">
        <v>357</v>
      </c>
      <c r="C155" s="90">
        <v>1002307552</v>
      </c>
      <c r="D155" s="91">
        <v>24500</v>
      </c>
      <c r="E155" s="93" t="s">
        <v>14</v>
      </c>
      <c r="F155" s="66">
        <v>46325</v>
      </c>
      <c r="G155" s="67" t="s">
        <v>315</v>
      </c>
      <c r="H155" s="68">
        <v>5</v>
      </c>
      <c r="I155" s="12" t="str">
        <f t="shared" si="5"/>
        <v>NEW</v>
      </c>
      <c r="J155" s="5" t="str">
        <f>IFERROR(VLOOKUP(TableToday[[#This Row],[Prod. Order]],Components!A:B,2,FALSE), "0")</f>
        <v>LSVLN1</v>
      </c>
      <c r="K155" s="5" t="str">
        <f>IFERROR(VLOOKUP(TableToday[[#This Row],[WorkCenter]],'Resource Info'!A:B,2,FALSE), "0")</f>
        <v>LSV Line 1</v>
      </c>
      <c r="L155" s="6" t="str">
        <f>IFERROR(VLOOKUP(TableToday[[#This Row],[Pack Line]],'Resource Info'!B:C,2,FALSE),"0")</f>
        <v>LSV Conditioning</v>
      </c>
      <c r="M15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5" s="62" t="str">
        <f>IF(OR(TableToday[[#This Row],[Department]]="SSV TREATPACK", TableToday[[#This Row],[Department]]="LSV TREATPACK"),8,"")</f>
        <v/>
      </c>
    </row>
    <row r="156" spans="1:14">
      <c r="A156" s="4" t="str">
        <f t="shared" si="4"/>
        <v>WABS</v>
      </c>
      <c r="B156" s="93" t="s">
        <v>311</v>
      </c>
      <c r="C156" s="90">
        <v>1002305105</v>
      </c>
      <c r="D156" s="91">
        <v>32</v>
      </c>
      <c r="E156" s="93" t="s">
        <v>14</v>
      </c>
      <c r="F156" s="66">
        <v>46290</v>
      </c>
      <c r="G156" s="67" t="s">
        <v>232</v>
      </c>
      <c r="H156" s="68"/>
      <c r="I156" s="12" t="str">
        <f t="shared" si="5"/>
        <v>NEW</v>
      </c>
      <c r="J156" s="5" t="str">
        <f>IFERROR(VLOOKUP(TableToday[[#This Row],[Prod. Order]],Components!A:B,2,FALSE), "0")</f>
        <v>SSVLN5</v>
      </c>
      <c r="K156" s="5" t="str">
        <f>IFERROR(VLOOKUP(TableToday[[#This Row],[WorkCenter]],'Resource Info'!A:B,2,FALSE), "0")</f>
        <v>SSV Line 5</v>
      </c>
      <c r="L156" s="6" t="str">
        <f>IFERROR(VLOOKUP(TableToday[[#This Row],[Pack Line]],'Resource Info'!B:C,2,FALSE),"0")</f>
        <v>SSV Conditioning</v>
      </c>
      <c r="M15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6" s="62" t="str">
        <f>IF(OR(TableToday[[#This Row],[Department]]="SSV TREATPACK", TableToday[[#This Row],[Department]]="LSV TREATPACK"),8,"")</f>
        <v/>
      </c>
    </row>
    <row r="157" spans="1:14">
      <c r="A157" s="4" t="str">
        <f t="shared" si="4"/>
        <v>BECO</v>
      </c>
      <c r="B157" s="93" t="s">
        <v>324</v>
      </c>
      <c r="C157" s="90">
        <v>1002300825</v>
      </c>
      <c r="D157" s="91">
        <v>30760</v>
      </c>
      <c r="E157" s="93" t="s">
        <v>14</v>
      </c>
      <c r="F157" s="66">
        <v>46384</v>
      </c>
      <c r="G157" s="67" t="s">
        <v>304</v>
      </c>
      <c r="H157" s="68">
        <v>5</v>
      </c>
      <c r="I157" s="12" t="str">
        <f t="shared" si="5"/>
        <v>NEW</v>
      </c>
      <c r="J157" s="5" t="str">
        <f>IFERROR(VLOOKUP(TableToday[[#This Row],[Prod. Order]],Components!A:B,2,FALSE), "0")</f>
        <v>LSVLN2</v>
      </c>
      <c r="K157" s="5" t="str">
        <f>IFERROR(VLOOKUP(TableToday[[#This Row],[WorkCenter]],'Resource Info'!A:B,2,FALSE), "0")</f>
        <v>LSV Line 2</v>
      </c>
      <c r="L157" s="6" t="str">
        <f>IFERROR(VLOOKUP(TableToday[[#This Row],[Pack Line]],'Resource Info'!B:C,2,FALSE),"0")</f>
        <v>LSV Conditioning</v>
      </c>
      <c r="M15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7" s="62" t="str">
        <f>IF(OR(TableToday[[#This Row],[Department]]="SSV TREATPACK", TableToday[[#This Row],[Department]]="LSV TREATPACK"),8,"")</f>
        <v/>
      </c>
    </row>
    <row r="158" spans="1:14">
      <c r="A158" s="4" t="str">
        <f t="shared" si="4"/>
        <v>CABS</v>
      </c>
      <c r="B158" s="93" t="s">
        <v>276</v>
      </c>
      <c r="C158" s="90">
        <v>1002301228</v>
      </c>
      <c r="D158" s="91">
        <v>0.16500000000000001</v>
      </c>
      <c r="E158" s="93" t="s">
        <v>14</v>
      </c>
      <c r="F158" s="66">
        <v>46287</v>
      </c>
      <c r="G158" s="67" t="s">
        <v>277</v>
      </c>
      <c r="H158" s="68"/>
      <c r="I158" s="12" t="str">
        <f t="shared" si="5"/>
        <v>NEW</v>
      </c>
      <c r="J158" s="5" t="str">
        <f>IFERROR(VLOOKUP(TableToday[[#This Row],[Prod. Order]],Components!A:B,2,FALSE), "0")</f>
        <v>SSVLN5</v>
      </c>
      <c r="K158" s="5" t="str">
        <f>IFERROR(VLOOKUP(TableToday[[#This Row],[WorkCenter]],'Resource Info'!A:B,2,FALSE), "0")</f>
        <v>SSV Line 5</v>
      </c>
      <c r="L158" s="6" t="str">
        <f>IFERROR(VLOOKUP(TableToday[[#This Row],[Pack Line]],'Resource Info'!B:C,2,FALSE),"0")</f>
        <v>SSV Conditioning</v>
      </c>
      <c r="M15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8" s="62" t="str">
        <f>IF(OR(TableToday[[#This Row],[Department]]="SSV TREATPACK", TableToday[[#This Row],[Department]]="LSV TREATPACK"),8,"")</f>
        <v/>
      </c>
    </row>
    <row r="159" spans="1:14">
      <c r="A159" s="4" t="str">
        <f t="shared" si="4"/>
        <v>CABS</v>
      </c>
      <c r="B159" s="93" t="s">
        <v>278</v>
      </c>
      <c r="C159" s="90">
        <v>1002301229</v>
      </c>
      <c r="D159" s="91">
        <v>0.76</v>
      </c>
      <c r="E159" s="93" t="s">
        <v>14</v>
      </c>
      <c r="F159" s="66">
        <v>46287</v>
      </c>
      <c r="G159" s="67" t="s">
        <v>277</v>
      </c>
      <c r="H159" s="68"/>
      <c r="I159" s="12" t="str">
        <f t="shared" si="5"/>
        <v>NEW</v>
      </c>
      <c r="J159" s="5" t="str">
        <f>IFERROR(VLOOKUP(TableToday[[#This Row],[Prod. Order]],Components!A:B,2,FALSE), "0")</f>
        <v>SSVLN5</v>
      </c>
      <c r="K159" s="5" t="str">
        <f>IFERROR(VLOOKUP(TableToday[[#This Row],[WorkCenter]],'Resource Info'!A:B,2,FALSE), "0")</f>
        <v>SSV Line 5</v>
      </c>
      <c r="L159" s="6" t="str">
        <f>IFERROR(VLOOKUP(TableToday[[#This Row],[Pack Line]],'Resource Info'!B:C,2,FALSE),"0")</f>
        <v>SSV Conditioning</v>
      </c>
      <c r="M15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59" s="62" t="str">
        <f>IF(OR(TableToday[[#This Row],[Department]]="SSV TREATPACK", TableToday[[#This Row],[Department]]="LSV TREATPACK"),8,"")</f>
        <v/>
      </c>
    </row>
    <row r="160" spans="1:14">
      <c r="A160" s="4" t="str">
        <f t="shared" si="4"/>
        <v>SQCO</v>
      </c>
      <c r="B160" s="93" t="s">
        <v>166</v>
      </c>
      <c r="C160" s="90">
        <v>1002262558</v>
      </c>
      <c r="D160" s="91">
        <v>243.8</v>
      </c>
      <c r="E160" s="93" t="s">
        <v>20</v>
      </c>
      <c r="F160" s="66">
        <v>46136</v>
      </c>
      <c r="G160" s="67" t="s">
        <v>19</v>
      </c>
      <c r="H160" s="68"/>
      <c r="I160" s="12" t="str">
        <f t="shared" si="5"/>
        <v>NEW</v>
      </c>
      <c r="J160" s="5" t="str">
        <f>IFERROR(VLOOKUP(TableToday[[#This Row],[Prod. Order]],Components!A:B,2,FALSE), "0")</f>
        <v>SSVLN5</v>
      </c>
      <c r="K160" s="5" t="str">
        <f>IFERROR(VLOOKUP(TableToday[[#This Row],[WorkCenter]],'Resource Info'!A:B,2,FALSE), "0")</f>
        <v>SSV Line 5</v>
      </c>
      <c r="L160" s="6" t="str">
        <f>IFERROR(VLOOKUP(TableToday[[#This Row],[Pack Line]],'Resource Info'!B:C,2,FALSE),"0")</f>
        <v>SSV Conditioning</v>
      </c>
      <c r="M16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0" s="62" t="str">
        <f>IF(OR(TableToday[[#This Row],[Department]]="SSV TREATPACK", TableToday[[#This Row],[Department]]="LSV TREATPACK"),8,"")</f>
        <v/>
      </c>
    </row>
    <row r="161" spans="1:14">
      <c r="A161" s="4" t="str">
        <f t="shared" si="4"/>
        <v>SWTO</v>
      </c>
      <c r="B161" s="93" t="s">
        <v>376</v>
      </c>
      <c r="C161" s="90">
        <v>120000902</v>
      </c>
      <c r="D161" s="91">
        <v>7173</v>
      </c>
      <c r="E161" s="93" t="s">
        <v>14</v>
      </c>
      <c r="F161" s="66">
        <v>46357</v>
      </c>
      <c r="G161" s="67" t="s">
        <v>377</v>
      </c>
      <c r="H161" s="68"/>
      <c r="I161" s="12" t="str">
        <f t="shared" si="5"/>
        <v>NEW</v>
      </c>
      <c r="J161" s="5" t="str">
        <f>IFERROR(VLOOKUP(TableToday[[#This Row],[Prod. Order]],Components!A:B,2,FALSE), "0")</f>
        <v>LSVLN2</v>
      </c>
      <c r="K161" s="5" t="str">
        <f>IFERROR(VLOOKUP(TableToday[[#This Row],[WorkCenter]],'Resource Info'!A:B,2,FALSE), "0")</f>
        <v>LSV Line 2</v>
      </c>
      <c r="L161" s="6" t="str">
        <f>IFERROR(VLOOKUP(TableToday[[#This Row],[Pack Line]],'Resource Info'!B:C,2,FALSE),"0")</f>
        <v>LSV Conditioning</v>
      </c>
      <c r="M16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1" s="62" t="str">
        <f>IF(OR(TableToday[[#This Row],[Department]]="SSV TREATPACK", TableToday[[#This Row],[Department]]="LSV TREATPACK"),8,"")</f>
        <v/>
      </c>
    </row>
    <row r="162" spans="1:14">
      <c r="A162" s="4" t="str">
        <f t="shared" si="4"/>
        <v>SWTO</v>
      </c>
      <c r="B162" s="93" t="s">
        <v>376</v>
      </c>
      <c r="C162" s="90">
        <v>120000903</v>
      </c>
      <c r="D162" s="91">
        <v>6755</v>
      </c>
      <c r="E162" s="93" t="s">
        <v>14</v>
      </c>
      <c r="F162" s="66">
        <v>46357</v>
      </c>
      <c r="G162" s="67" t="s">
        <v>377</v>
      </c>
      <c r="H162" s="68"/>
      <c r="I162" s="12" t="str">
        <f t="shared" si="5"/>
        <v>NEW</v>
      </c>
      <c r="J162" s="5" t="str">
        <f>IFERROR(VLOOKUP(TableToday[[#This Row],[Prod. Order]],Components!A:B,2,FALSE), "0")</f>
        <v>LSVLN2</v>
      </c>
      <c r="K162" s="5" t="str">
        <f>IFERROR(VLOOKUP(TableToday[[#This Row],[WorkCenter]],'Resource Info'!A:B,2,FALSE), "0")</f>
        <v>LSV Line 2</v>
      </c>
      <c r="L162" s="6" t="str">
        <f>IFERROR(VLOOKUP(TableToday[[#This Row],[Pack Line]],'Resource Info'!B:C,2,FALSE),"0")</f>
        <v>LSV Conditioning</v>
      </c>
      <c r="M16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2" s="62" t="str">
        <f>IF(OR(TableToday[[#This Row],[Department]]="SSV TREATPACK", TableToday[[#This Row],[Department]]="LSV TREATPACK"),8,"")</f>
        <v/>
      </c>
    </row>
    <row r="163" spans="1:14">
      <c r="A163" s="4" t="str">
        <f t="shared" si="4"/>
        <v>SWTO</v>
      </c>
      <c r="B163" s="93" t="s">
        <v>376</v>
      </c>
      <c r="C163" s="90">
        <v>120000904</v>
      </c>
      <c r="D163" s="91">
        <v>3987.5</v>
      </c>
      <c r="E163" s="93" t="s">
        <v>14</v>
      </c>
      <c r="F163" s="66">
        <v>46357</v>
      </c>
      <c r="G163" s="67" t="s">
        <v>377</v>
      </c>
      <c r="H163" s="68"/>
      <c r="I163" s="12" t="str">
        <f t="shared" si="5"/>
        <v>NEW</v>
      </c>
      <c r="J163" s="5" t="str">
        <f>IFERROR(VLOOKUP(TableToday[[#This Row],[Prod. Order]],Components!A:B,2,FALSE), "0")</f>
        <v>LSVLN2</v>
      </c>
      <c r="K163" s="5" t="str">
        <f>IFERROR(VLOOKUP(TableToday[[#This Row],[WorkCenter]],'Resource Info'!A:B,2,FALSE), "0")</f>
        <v>LSV Line 2</v>
      </c>
      <c r="L163" s="6" t="str">
        <f>IFERROR(VLOOKUP(TableToday[[#This Row],[Pack Line]],'Resource Info'!B:C,2,FALSE),"0")</f>
        <v>LSV Conditioning</v>
      </c>
      <c r="M16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3" s="62" t="str">
        <f>IF(OR(TableToday[[#This Row],[Department]]="SSV TREATPACK", TableToday[[#This Row],[Department]]="LSV TREATPACK"),8,"")</f>
        <v/>
      </c>
    </row>
    <row r="164" spans="1:14">
      <c r="A164" s="4" t="str">
        <f t="shared" si="4"/>
        <v>SWPB</v>
      </c>
      <c r="B164" s="93" t="s">
        <v>334</v>
      </c>
      <c r="C164" s="90">
        <v>300102375</v>
      </c>
      <c r="D164" s="91">
        <v>36</v>
      </c>
      <c r="E164" s="93" t="s">
        <v>14</v>
      </c>
      <c r="F164" s="66">
        <v>46295</v>
      </c>
      <c r="G164" s="67" t="s">
        <v>335</v>
      </c>
      <c r="H164" s="68"/>
      <c r="I164" s="12" t="str">
        <f t="shared" si="5"/>
        <v>NEW</v>
      </c>
      <c r="J164" s="5" t="str">
        <f>IFERROR(VLOOKUP(TableToday[[#This Row],[Prod. Order]],Components!A:B,2,FALSE), "0")</f>
        <v>LSVGRVTY</v>
      </c>
      <c r="K164" s="5" t="str">
        <f>IFERROR(VLOOKUP(TableToday[[#This Row],[WorkCenter]],'Resource Info'!A:B,2,FALSE), "0")</f>
        <v>LSV Gravity</v>
      </c>
      <c r="L164" s="6" t="str">
        <f>IFERROR(VLOOKUP(TableToday[[#This Row],[Pack Line]],'Resource Info'!B:C,2,FALSE),"0")</f>
        <v>LSV Conditioning</v>
      </c>
      <c r="M16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4" s="62" t="str">
        <f>IF(OR(TableToday[[#This Row],[Department]]="SSV TREATPACK", TableToday[[#This Row],[Department]]="LSV TREATPACK"),8,"")</f>
        <v/>
      </c>
    </row>
    <row r="165" spans="1:14">
      <c r="A165" s="4" t="str">
        <f t="shared" si="4"/>
        <v>SWPB</v>
      </c>
      <c r="B165" s="93" t="s">
        <v>336</v>
      </c>
      <c r="C165" s="90">
        <v>300102378</v>
      </c>
      <c r="D165" s="91">
        <v>67.5</v>
      </c>
      <c r="E165" s="93" t="s">
        <v>14</v>
      </c>
      <c r="F165" s="66">
        <v>46295</v>
      </c>
      <c r="G165" s="67" t="s">
        <v>335</v>
      </c>
      <c r="H165" s="68"/>
      <c r="I165" s="12" t="str">
        <f t="shared" si="5"/>
        <v>NEW</v>
      </c>
      <c r="J165" s="5" t="str">
        <f>IFERROR(VLOOKUP(TableToday[[#This Row],[Prod. Order]],Components!A:B,2,FALSE), "0")</f>
        <v>LSVGRVTY</v>
      </c>
      <c r="K165" s="5" t="str">
        <f>IFERROR(VLOOKUP(TableToday[[#This Row],[WorkCenter]],'Resource Info'!A:B,2,FALSE), "0")</f>
        <v>LSV Gravity</v>
      </c>
      <c r="L165" s="6" t="str">
        <f>IFERROR(VLOOKUP(TableToday[[#This Row],[Pack Line]],'Resource Info'!B:C,2,FALSE),"0")</f>
        <v>LSV Conditioning</v>
      </c>
      <c r="M16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5" s="62" t="str">
        <f>IF(OR(TableToday[[#This Row],[Department]]="SSV TREATPACK", TableToday[[#This Row],[Department]]="LSV TREATPACK"),8,"")</f>
        <v/>
      </c>
    </row>
    <row r="166" spans="1:14">
      <c r="A166" s="4" t="str">
        <f t="shared" si="4"/>
        <v>SWPB</v>
      </c>
      <c r="B166" s="93" t="s">
        <v>337</v>
      </c>
      <c r="C166" s="90">
        <v>300102379</v>
      </c>
      <c r="D166" s="91">
        <v>25</v>
      </c>
      <c r="E166" s="93" t="s">
        <v>14</v>
      </c>
      <c r="F166" s="66">
        <v>46295</v>
      </c>
      <c r="G166" s="67" t="s">
        <v>335</v>
      </c>
      <c r="H166" s="68"/>
      <c r="I166" s="12" t="str">
        <f t="shared" si="5"/>
        <v>NEW</v>
      </c>
      <c r="J166" s="5" t="str">
        <f>IFERROR(VLOOKUP(TableToday[[#This Row],[Prod. Order]],Components!A:B,2,FALSE), "0")</f>
        <v>LSVGRVTY</v>
      </c>
      <c r="K166" s="5" t="str">
        <f>IFERROR(VLOOKUP(TableToday[[#This Row],[WorkCenter]],'Resource Info'!A:B,2,FALSE), "0")</f>
        <v>LSV Gravity</v>
      </c>
      <c r="L166" s="6" t="str">
        <f>IFERROR(VLOOKUP(TableToday[[#This Row],[Pack Line]],'Resource Info'!B:C,2,FALSE),"0")</f>
        <v>LSV Conditioning</v>
      </c>
      <c r="M16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6" s="62" t="str">
        <f>IF(OR(TableToday[[#This Row],[Department]]="SSV TREATPACK", TableToday[[#This Row],[Department]]="LSV TREATPACK"),8,"")</f>
        <v/>
      </c>
    </row>
    <row r="167" spans="1:14">
      <c r="A167" s="4" t="str">
        <f t="shared" si="4"/>
        <v>TOCO</v>
      </c>
      <c r="B167" s="93" t="s">
        <v>325</v>
      </c>
      <c r="C167" s="90">
        <v>300102523</v>
      </c>
      <c r="D167" s="91">
        <v>2300</v>
      </c>
      <c r="E167" s="93" t="s">
        <v>20</v>
      </c>
      <c r="F167" s="66">
        <v>46290</v>
      </c>
      <c r="G167" s="67" t="s">
        <v>326</v>
      </c>
      <c r="H167" s="68"/>
      <c r="I167" s="12" t="str">
        <f t="shared" si="5"/>
        <v>NEW</v>
      </c>
      <c r="J167" s="5" t="str">
        <f>IFERROR(VLOOKUP(TableToday[[#This Row],[Prod. Order]],Components!A:B,2,FALSE), "0")</f>
        <v>SSVRPR6</v>
      </c>
      <c r="K167" s="5" t="str">
        <f>IFERROR(VLOOKUP(TableToday[[#This Row],[WorkCenter]],'Resource Info'!A:B,2,FALSE), "0")</f>
        <v>SSV Line 6 Repair</v>
      </c>
      <c r="L167" s="6" t="str">
        <f>IFERROR(VLOOKUP(TableToday[[#This Row],[Pack Line]],'Resource Info'!B:C,2,FALSE),"0")</f>
        <v>SSV Conditioning</v>
      </c>
      <c r="M16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7" s="62" t="str">
        <f>IF(OR(TableToday[[#This Row],[Department]]="SSV TREATPACK", TableToday[[#This Row],[Department]]="LSV TREATPACK"),8,"")</f>
        <v/>
      </c>
    </row>
    <row r="168" spans="1:14">
      <c r="A168" s="4" t="str">
        <f t="shared" si="4"/>
        <v>TOCO</v>
      </c>
      <c r="B168" s="93" t="s">
        <v>26</v>
      </c>
      <c r="C168" s="90">
        <v>1002176708</v>
      </c>
      <c r="D168" s="91">
        <v>4.55</v>
      </c>
      <c r="E168" s="93" t="s">
        <v>14</v>
      </c>
      <c r="F168" s="66">
        <v>46015</v>
      </c>
      <c r="G168" s="67" t="s">
        <v>27</v>
      </c>
      <c r="H168" s="68"/>
      <c r="I168" s="12" t="str">
        <f t="shared" si="5"/>
        <v>NEW</v>
      </c>
      <c r="J168" s="5" t="str">
        <f>IFERROR(VLOOKUP(TableToday[[#This Row],[Prod. Order]],Components!A:B,2,FALSE), "0")</f>
        <v>PASSHLTH</v>
      </c>
      <c r="K168" s="5" t="str">
        <f>IFERROR(VLOOKUP(TableToday[[#This Row],[WorkCenter]],'Resource Info'!A:B,2,FALSE), "0")</f>
        <v>Seed Health</v>
      </c>
      <c r="L168" s="6" t="str">
        <f>IFERROR(VLOOKUP(TableToday[[#This Row],[Pack Line]],'Resource Info'!B:C,2,FALSE),"0")</f>
        <v>Seed Health</v>
      </c>
      <c r="M16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8" s="62" t="str">
        <f>IF(OR(TableToday[[#This Row],[Department]]="SSV TREATPACK", TableToday[[#This Row],[Department]]="LSV TREATPACK"),8,"")</f>
        <v/>
      </c>
    </row>
    <row r="169" spans="1:14">
      <c r="A169" s="4" t="str">
        <f t="shared" si="4"/>
        <v>CACO</v>
      </c>
      <c r="B169" s="93" t="s">
        <v>273</v>
      </c>
      <c r="C169" s="90">
        <v>1002300227</v>
      </c>
      <c r="D169" s="91">
        <v>9</v>
      </c>
      <c r="E169" s="93" t="s">
        <v>14</v>
      </c>
      <c r="F169" s="66">
        <v>46279</v>
      </c>
      <c r="G169" s="67" t="s">
        <v>231</v>
      </c>
      <c r="H169" s="68"/>
      <c r="I169" s="12" t="str">
        <f t="shared" si="5"/>
        <v>NEW</v>
      </c>
      <c r="J169" s="5" t="str">
        <f>IFERROR(VLOOKUP(TableToday[[#This Row],[Prod. Order]],Components!A:B,2,FALSE), "0")</f>
        <v>PASSHLTH</v>
      </c>
      <c r="K169" s="5" t="str">
        <f>IFERROR(VLOOKUP(TableToday[[#This Row],[WorkCenter]],'Resource Info'!A:B,2,FALSE), "0")</f>
        <v>Seed Health</v>
      </c>
      <c r="L169" s="6" t="str">
        <f>IFERROR(VLOOKUP(TableToday[[#This Row],[Pack Line]],'Resource Info'!B:C,2,FALSE),"0")</f>
        <v>Seed Health</v>
      </c>
      <c r="M16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69" s="62" t="str">
        <f>IF(OR(TableToday[[#This Row],[Department]]="SSV TREATPACK", TableToday[[#This Row],[Department]]="LSV TREATPACK"),8,"")</f>
        <v/>
      </c>
    </row>
    <row r="170" spans="1:14">
      <c r="A170" s="4" t="str">
        <f t="shared" si="4"/>
        <v>CACO</v>
      </c>
      <c r="B170" s="93" t="s">
        <v>273</v>
      </c>
      <c r="C170" s="90">
        <v>1002300228</v>
      </c>
      <c r="D170" s="91">
        <v>6</v>
      </c>
      <c r="E170" s="93" t="s">
        <v>14</v>
      </c>
      <c r="F170" s="66">
        <v>46279</v>
      </c>
      <c r="G170" s="67" t="s">
        <v>231</v>
      </c>
      <c r="H170" s="68"/>
      <c r="I170" s="12" t="str">
        <f t="shared" si="5"/>
        <v>NEW</v>
      </c>
      <c r="J170" s="5" t="str">
        <f>IFERROR(VLOOKUP(TableToday[[#This Row],[Prod. Order]],Components!A:B,2,FALSE), "0")</f>
        <v>PASSHLTH</v>
      </c>
      <c r="K170" s="5" t="str">
        <f>IFERROR(VLOOKUP(TableToday[[#This Row],[WorkCenter]],'Resource Info'!A:B,2,FALSE), "0")</f>
        <v>Seed Health</v>
      </c>
      <c r="L170" s="6" t="str">
        <f>IFERROR(VLOOKUP(TableToday[[#This Row],[Pack Line]],'Resource Info'!B:C,2,FALSE),"0")</f>
        <v>Seed Health</v>
      </c>
      <c r="M17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0" s="62" t="str">
        <f>IF(OR(TableToday[[#This Row],[Department]]="SSV TREATPACK", TableToday[[#This Row],[Department]]="LSV TREATPACK"),8,"")</f>
        <v/>
      </c>
    </row>
    <row r="171" spans="1:14">
      <c r="A171" s="4" t="str">
        <f t="shared" si="4"/>
        <v>CACO</v>
      </c>
      <c r="B171" s="93" t="s">
        <v>273</v>
      </c>
      <c r="C171" s="90">
        <v>1002300229</v>
      </c>
      <c r="D171" s="91">
        <v>4.1900000000000004</v>
      </c>
      <c r="E171" s="93" t="s">
        <v>14</v>
      </c>
      <c r="F171" s="66">
        <v>46279</v>
      </c>
      <c r="G171" s="67" t="s">
        <v>231</v>
      </c>
      <c r="H171" s="68"/>
      <c r="I171" s="12" t="str">
        <f t="shared" si="5"/>
        <v>NEW</v>
      </c>
      <c r="J171" s="5" t="str">
        <f>IFERROR(VLOOKUP(TableToday[[#This Row],[Prod. Order]],Components!A:B,2,FALSE), "0")</f>
        <v>PASSHLTH</v>
      </c>
      <c r="K171" s="5" t="str">
        <f>IFERROR(VLOOKUP(TableToday[[#This Row],[WorkCenter]],'Resource Info'!A:B,2,FALSE), "0")</f>
        <v>Seed Health</v>
      </c>
      <c r="L171" s="6" t="str">
        <f>IFERROR(VLOOKUP(TableToday[[#This Row],[Pack Line]],'Resource Info'!B:C,2,FALSE),"0")</f>
        <v>Seed Health</v>
      </c>
      <c r="M17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1" s="62" t="str">
        <f>IF(OR(TableToday[[#This Row],[Department]]="SSV TREATPACK", TableToday[[#This Row],[Department]]="LSV TREATPACK"),8,"")</f>
        <v/>
      </c>
    </row>
    <row r="172" spans="1:14">
      <c r="A172" s="4" t="str">
        <f t="shared" si="4"/>
        <v>CACO</v>
      </c>
      <c r="B172" s="93" t="s">
        <v>273</v>
      </c>
      <c r="C172" s="90">
        <v>1002301138</v>
      </c>
      <c r="D172" s="91">
        <v>6.5</v>
      </c>
      <c r="E172" s="93" t="s">
        <v>14</v>
      </c>
      <c r="F172" s="66">
        <v>46287</v>
      </c>
      <c r="G172" s="67" t="s">
        <v>231</v>
      </c>
      <c r="H172" s="68"/>
      <c r="I172" s="12" t="str">
        <f t="shared" si="5"/>
        <v>NEW</v>
      </c>
      <c r="J172" s="5" t="str">
        <f>IFERROR(VLOOKUP(TableToday[[#This Row],[Prod. Order]],Components!A:B,2,FALSE), "0")</f>
        <v>PASSHLTH</v>
      </c>
      <c r="K172" s="5" t="str">
        <f>IFERROR(VLOOKUP(TableToday[[#This Row],[WorkCenter]],'Resource Info'!A:B,2,FALSE), "0")</f>
        <v>Seed Health</v>
      </c>
      <c r="L172" s="6" t="str">
        <f>IFERROR(VLOOKUP(TableToday[[#This Row],[Pack Line]],'Resource Info'!B:C,2,FALSE),"0")</f>
        <v>Seed Health</v>
      </c>
      <c r="M17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2" s="62" t="str">
        <f>IF(OR(TableToday[[#This Row],[Department]]="SSV TREATPACK", TableToday[[#This Row],[Department]]="LSV TREATPACK"),8,"")</f>
        <v/>
      </c>
    </row>
    <row r="173" spans="1:14">
      <c r="A173" s="4" t="str">
        <f t="shared" si="4"/>
        <v>CACO</v>
      </c>
      <c r="B173" s="93" t="s">
        <v>273</v>
      </c>
      <c r="C173" s="90">
        <v>1002307954</v>
      </c>
      <c r="D173" s="91">
        <v>9.6</v>
      </c>
      <c r="E173" s="93" t="s">
        <v>14</v>
      </c>
      <c r="F173" s="66">
        <v>46310</v>
      </c>
      <c r="G173" s="67" t="s">
        <v>231</v>
      </c>
      <c r="H173" s="68"/>
      <c r="I173" s="12" t="str">
        <f t="shared" si="5"/>
        <v>NEW</v>
      </c>
      <c r="J173" s="5" t="str">
        <f>IFERROR(VLOOKUP(TableToday[[#This Row],[Prod. Order]],Components!A:B,2,FALSE), "0")</f>
        <v>PASSHLTH</v>
      </c>
      <c r="K173" s="5" t="str">
        <f>IFERROR(VLOOKUP(TableToday[[#This Row],[WorkCenter]],'Resource Info'!A:B,2,FALSE), "0")</f>
        <v>Seed Health</v>
      </c>
      <c r="L173" s="6" t="str">
        <f>IFERROR(VLOOKUP(TableToday[[#This Row],[Pack Line]],'Resource Info'!B:C,2,FALSE),"0")</f>
        <v>Seed Health</v>
      </c>
      <c r="M17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3" s="62" t="str">
        <f>IF(OR(TableToday[[#This Row],[Department]]="SSV TREATPACK", TableToday[[#This Row],[Department]]="LSV TREATPACK"),8,"")</f>
        <v/>
      </c>
    </row>
    <row r="174" spans="1:14">
      <c r="A174" s="4" t="str">
        <f t="shared" si="4"/>
        <v>CACO</v>
      </c>
      <c r="B174" s="93" t="s">
        <v>273</v>
      </c>
      <c r="C174" s="90">
        <v>1002307955</v>
      </c>
      <c r="D174" s="91">
        <v>15</v>
      </c>
      <c r="E174" s="93" t="s">
        <v>14</v>
      </c>
      <c r="F174" s="66">
        <v>46310</v>
      </c>
      <c r="G174" s="67" t="s">
        <v>231</v>
      </c>
      <c r="H174" s="68"/>
      <c r="I174" s="12" t="str">
        <f t="shared" si="5"/>
        <v>NEW</v>
      </c>
      <c r="J174" s="5" t="str">
        <f>IFERROR(VLOOKUP(TableToday[[#This Row],[Prod. Order]],Components!A:B,2,FALSE), "0")</f>
        <v>PASSHLTH</v>
      </c>
      <c r="K174" s="5" t="str">
        <f>IFERROR(VLOOKUP(TableToday[[#This Row],[WorkCenter]],'Resource Info'!A:B,2,FALSE), "0")</f>
        <v>Seed Health</v>
      </c>
      <c r="L174" s="6" t="str">
        <f>IFERROR(VLOOKUP(TableToday[[#This Row],[Pack Line]],'Resource Info'!B:C,2,FALSE),"0")</f>
        <v>Seed Health</v>
      </c>
      <c r="M17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4" s="62" t="str">
        <f>IF(OR(TableToday[[#This Row],[Department]]="SSV TREATPACK", TableToday[[#This Row],[Department]]="LSV TREATPACK"),8,"")</f>
        <v/>
      </c>
    </row>
    <row r="175" spans="1:14">
      <c r="A175" s="4" t="str">
        <f t="shared" si="4"/>
        <v>CACO</v>
      </c>
      <c r="B175" s="93" t="s">
        <v>273</v>
      </c>
      <c r="C175" s="90">
        <v>1002307956</v>
      </c>
      <c r="D175" s="91">
        <v>8</v>
      </c>
      <c r="E175" s="93" t="s">
        <v>14</v>
      </c>
      <c r="F175" s="66">
        <v>46310</v>
      </c>
      <c r="G175" s="67" t="s">
        <v>231</v>
      </c>
      <c r="H175" s="68"/>
      <c r="I175" s="12" t="str">
        <f t="shared" si="5"/>
        <v>NEW</v>
      </c>
      <c r="J175" s="5" t="str">
        <f>IFERROR(VLOOKUP(TableToday[[#This Row],[Prod. Order]],Components!A:B,2,FALSE), "0")</f>
        <v>PASSHLTH</v>
      </c>
      <c r="K175" s="5" t="str">
        <f>IFERROR(VLOOKUP(TableToday[[#This Row],[WorkCenter]],'Resource Info'!A:B,2,FALSE), "0")</f>
        <v>Seed Health</v>
      </c>
      <c r="L175" s="6" t="str">
        <f>IFERROR(VLOOKUP(TableToday[[#This Row],[Pack Line]],'Resource Info'!B:C,2,FALSE),"0")</f>
        <v>Seed Health</v>
      </c>
      <c r="M17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5" s="62" t="str">
        <f>IF(OR(TableToday[[#This Row],[Department]]="SSV TREATPACK", TableToday[[#This Row],[Department]]="LSV TREATPACK"),8,"")</f>
        <v/>
      </c>
    </row>
    <row r="176" spans="1:14">
      <c r="A176" s="4" t="str">
        <f t="shared" si="4"/>
        <v>CACO</v>
      </c>
      <c r="B176" s="93" t="s">
        <v>273</v>
      </c>
      <c r="C176" s="90">
        <v>1002307957</v>
      </c>
      <c r="D176" s="91">
        <v>8</v>
      </c>
      <c r="E176" s="93" t="s">
        <v>14</v>
      </c>
      <c r="F176" s="66">
        <v>46310</v>
      </c>
      <c r="G176" s="67" t="s">
        <v>231</v>
      </c>
      <c r="H176" s="68"/>
      <c r="I176" s="12" t="str">
        <f t="shared" si="5"/>
        <v>NEW</v>
      </c>
      <c r="J176" s="5" t="str">
        <f>IFERROR(VLOOKUP(TableToday[[#This Row],[Prod. Order]],Components!A:B,2,FALSE), "0")</f>
        <v>PASSHLTH</v>
      </c>
      <c r="K176" s="5" t="str">
        <f>IFERROR(VLOOKUP(TableToday[[#This Row],[WorkCenter]],'Resource Info'!A:B,2,FALSE), "0")</f>
        <v>Seed Health</v>
      </c>
      <c r="L176" s="6" t="str">
        <f>IFERROR(VLOOKUP(TableToday[[#This Row],[Pack Line]],'Resource Info'!B:C,2,FALSE),"0")</f>
        <v>Seed Health</v>
      </c>
      <c r="M17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6" s="62" t="str">
        <f>IF(OR(TableToday[[#This Row],[Department]]="SSV TREATPACK", TableToday[[#This Row],[Department]]="LSV TREATPACK"),8,"")</f>
        <v/>
      </c>
    </row>
    <row r="177" spans="1:14">
      <c r="A177" s="4" t="str">
        <f t="shared" si="4"/>
        <v>CACO</v>
      </c>
      <c r="B177" s="93" t="s">
        <v>273</v>
      </c>
      <c r="C177" s="90">
        <v>1002307958</v>
      </c>
      <c r="D177" s="91">
        <v>6</v>
      </c>
      <c r="E177" s="93" t="s">
        <v>14</v>
      </c>
      <c r="F177" s="66">
        <v>46310</v>
      </c>
      <c r="G177" s="67" t="s">
        <v>231</v>
      </c>
      <c r="H177" s="68"/>
      <c r="I177" s="12" t="str">
        <f t="shared" si="5"/>
        <v>NEW</v>
      </c>
      <c r="J177" s="5" t="str">
        <f>IFERROR(VLOOKUP(TableToday[[#This Row],[Prod. Order]],Components!A:B,2,FALSE), "0")</f>
        <v>PASSHLTH</v>
      </c>
      <c r="K177" s="5" t="str">
        <f>IFERROR(VLOOKUP(TableToday[[#This Row],[WorkCenter]],'Resource Info'!A:B,2,FALSE), "0")</f>
        <v>Seed Health</v>
      </c>
      <c r="L177" s="6" t="str">
        <f>IFERROR(VLOOKUP(TableToday[[#This Row],[Pack Line]],'Resource Info'!B:C,2,FALSE),"0")</f>
        <v>Seed Health</v>
      </c>
      <c r="M17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7" s="62" t="str">
        <f>IF(OR(TableToday[[#This Row],[Department]]="SSV TREATPACK", TableToday[[#This Row],[Department]]="LSV TREATPACK"),8,"")</f>
        <v/>
      </c>
    </row>
    <row r="178" spans="1:14">
      <c r="A178" s="4" t="str">
        <f t="shared" si="4"/>
        <v>CACO</v>
      </c>
      <c r="B178" s="93" t="s">
        <v>273</v>
      </c>
      <c r="C178" s="90">
        <v>1002307959</v>
      </c>
      <c r="D178" s="91">
        <v>6</v>
      </c>
      <c r="E178" s="93" t="s">
        <v>14</v>
      </c>
      <c r="F178" s="66">
        <v>46310</v>
      </c>
      <c r="G178" s="67" t="s">
        <v>231</v>
      </c>
      <c r="H178" s="68"/>
      <c r="I178" s="12" t="str">
        <f t="shared" si="5"/>
        <v>NEW</v>
      </c>
      <c r="J178" s="5" t="str">
        <f>IFERROR(VLOOKUP(TableToday[[#This Row],[Prod. Order]],Components!A:B,2,FALSE), "0")</f>
        <v>PASSHLTH</v>
      </c>
      <c r="K178" s="5" t="str">
        <f>IFERROR(VLOOKUP(TableToday[[#This Row],[WorkCenter]],'Resource Info'!A:B,2,FALSE), "0")</f>
        <v>Seed Health</v>
      </c>
      <c r="L178" s="6" t="str">
        <f>IFERROR(VLOOKUP(TableToday[[#This Row],[Pack Line]],'Resource Info'!B:C,2,FALSE),"0")</f>
        <v>Seed Health</v>
      </c>
      <c r="M17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8" s="62" t="str">
        <f>IF(OR(TableToday[[#This Row],[Department]]="SSV TREATPACK", TableToday[[#This Row],[Department]]="LSV TREATPACK"),8,"")</f>
        <v/>
      </c>
    </row>
    <row r="179" spans="1:14">
      <c r="A179" s="4" t="str">
        <f t="shared" si="4"/>
        <v>CACO</v>
      </c>
      <c r="B179" s="93" t="s">
        <v>279</v>
      </c>
      <c r="C179" s="90">
        <v>1002301141</v>
      </c>
      <c r="D179" s="91">
        <v>7.6</v>
      </c>
      <c r="E179" s="93" t="s">
        <v>14</v>
      </c>
      <c r="F179" s="66">
        <v>46287</v>
      </c>
      <c r="G179" s="67" t="s">
        <v>231</v>
      </c>
      <c r="H179" s="68"/>
      <c r="I179" s="12" t="str">
        <f t="shared" si="5"/>
        <v>NEW</v>
      </c>
      <c r="J179" s="5" t="str">
        <f>IFERROR(VLOOKUP(TableToday[[#This Row],[Prod. Order]],Components!A:B,2,FALSE), "0")</f>
        <v>PASSHLTH</v>
      </c>
      <c r="K179" s="5" t="str">
        <f>IFERROR(VLOOKUP(TableToday[[#This Row],[WorkCenter]],'Resource Info'!A:B,2,FALSE), "0")</f>
        <v>Seed Health</v>
      </c>
      <c r="L179" s="6" t="str">
        <f>IFERROR(VLOOKUP(TableToday[[#This Row],[Pack Line]],'Resource Info'!B:C,2,FALSE),"0")</f>
        <v>Seed Health</v>
      </c>
      <c r="M17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79" s="62" t="str">
        <f>IF(OR(TableToday[[#This Row],[Department]]="SSV TREATPACK", TableToday[[#This Row],[Department]]="LSV TREATPACK"),8,"")</f>
        <v/>
      </c>
    </row>
    <row r="180" spans="1:14">
      <c r="A180" s="4" t="str">
        <f t="shared" si="4"/>
        <v>CACO</v>
      </c>
      <c r="B180" s="93" t="s">
        <v>253</v>
      </c>
      <c r="C180" s="90">
        <v>1002290130</v>
      </c>
      <c r="D180" s="91">
        <v>7</v>
      </c>
      <c r="E180" s="93" t="s">
        <v>14</v>
      </c>
      <c r="F180" s="66">
        <v>46254</v>
      </c>
      <c r="G180" s="67" t="s">
        <v>231</v>
      </c>
      <c r="H180" s="68"/>
      <c r="I180" s="12" t="str">
        <f t="shared" si="5"/>
        <v>NEW</v>
      </c>
      <c r="J180" s="5" t="str">
        <f>IFERROR(VLOOKUP(TableToday[[#This Row],[Prod. Order]],Components!A:B,2,FALSE), "0")</f>
        <v>PASSHLTH</v>
      </c>
      <c r="K180" s="5" t="str">
        <f>IFERROR(VLOOKUP(TableToday[[#This Row],[WorkCenter]],'Resource Info'!A:B,2,FALSE), "0")</f>
        <v>Seed Health</v>
      </c>
      <c r="L180" s="6" t="str">
        <f>IFERROR(VLOOKUP(TableToday[[#This Row],[Pack Line]],'Resource Info'!B:C,2,FALSE),"0")</f>
        <v>Seed Health</v>
      </c>
      <c r="M18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0" s="62" t="str">
        <f>IF(OR(TableToday[[#This Row],[Department]]="SSV TREATPACK", TableToday[[#This Row],[Department]]="LSV TREATPACK"),8,"")</f>
        <v/>
      </c>
    </row>
    <row r="181" spans="1:14">
      <c r="A181" s="4" t="str">
        <f t="shared" si="4"/>
        <v>TOCO</v>
      </c>
      <c r="B181" s="93" t="s">
        <v>28</v>
      </c>
      <c r="C181" s="90">
        <v>1002173171</v>
      </c>
      <c r="D181" s="91">
        <v>11.531000000000001</v>
      </c>
      <c r="E181" s="93" t="s">
        <v>14</v>
      </c>
      <c r="F181" s="66">
        <v>45945</v>
      </c>
      <c r="G181" s="67" t="s">
        <v>27</v>
      </c>
      <c r="H181" s="68"/>
      <c r="I181" s="12" t="str">
        <f t="shared" si="5"/>
        <v>NEW</v>
      </c>
      <c r="J181" s="5" t="str">
        <f>IFERROR(VLOOKUP(TableToday[[#This Row],[Prod. Order]],Components!A:B,2,FALSE), "0")</f>
        <v>PASSHLTH</v>
      </c>
      <c r="K181" s="5" t="str">
        <f>IFERROR(VLOOKUP(TableToday[[#This Row],[WorkCenter]],'Resource Info'!A:B,2,FALSE), "0")</f>
        <v>Seed Health</v>
      </c>
      <c r="L181" s="6" t="str">
        <f>IFERROR(VLOOKUP(TableToday[[#This Row],[Pack Line]],'Resource Info'!B:C,2,FALSE),"0")</f>
        <v>Seed Health</v>
      </c>
      <c r="M18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1" s="62" t="str">
        <f>IF(OR(TableToday[[#This Row],[Department]]="SSV TREATPACK", TableToday[[#This Row],[Department]]="LSV TREATPACK"),8,"")</f>
        <v/>
      </c>
    </row>
    <row r="182" spans="1:14">
      <c r="A182" s="4" t="str">
        <f t="shared" si="4"/>
        <v>CACO</v>
      </c>
      <c r="B182" s="93" t="s">
        <v>280</v>
      </c>
      <c r="C182" s="90">
        <v>1002301139</v>
      </c>
      <c r="D182" s="91">
        <v>10</v>
      </c>
      <c r="E182" s="93" t="s">
        <v>14</v>
      </c>
      <c r="F182" s="66">
        <v>46287</v>
      </c>
      <c r="G182" s="67" t="s">
        <v>231</v>
      </c>
      <c r="H182" s="68"/>
      <c r="I182" s="12" t="str">
        <f t="shared" si="5"/>
        <v>NEW</v>
      </c>
      <c r="J182" s="5" t="str">
        <f>IFERROR(VLOOKUP(TableToday[[#This Row],[Prod. Order]],Components!A:B,2,FALSE), "0")</f>
        <v>PASSHLTH</v>
      </c>
      <c r="K182" s="5" t="str">
        <f>IFERROR(VLOOKUP(TableToday[[#This Row],[WorkCenter]],'Resource Info'!A:B,2,FALSE), "0")</f>
        <v>Seed Health</v>
      </c>
      <c r="L182" s="6" t="str">
        <f>IFERROR(VLOOKUP(TableToday[[#This Row],[Pack Line]],'Resource Info'!B:C,2,FALSE),"0")</f>
        <v>Seed Health</v>
      </c>
      <c r="M18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2" s="62" t="str">
        <f>IF(OR(TableToday[[#This Row],[Department]]="SSV TREATPACK", TableToday[[#This Row],[Department]]="LSV TREATPACK"),8,"")</f>
        <v/>
      </c>
    </row>
    <row r="183" spans="1:14">
      <c r="A183" s="4" t="str">
        <f t="shared" si="4"/>
        <v>CACO</v>
      </c>
      <c r="B183" s="93" t="s">
        <v>280</v>
      </c>
      <c r="C183" s="90">
        <v>1002301140</v>
      </c>
      <c r="D183" s="91">
        <v>11</v>
      </c>
      <c r="E183" s="93" t="s">
        <v>14</v>
      </c>
      <c r="F183" s="66">
        <v>46287</v>
      </c>
      <c r="G183" s="67" t="s">
        <v>231</v>
      </c>
      <c r="H183" s="68"/>
      <c r="I183" s="12" t="str">
        <f t="shared" si="5"/>
        <v>NEW</v>
      </c>
      <c r="J183" s="5" t="str">
        <f>IFERROR(VLOOKUP(TableToday[[#This Row],[Prod. Order]],Components!A:B,2,FALSE), "0")</f>
        <v>PASSHLTH</v>
      </c>
      <c r="K183" s="5" t="str">
        <f>IFERROR(VLOOKUP(TableToday[[#This Row],[WorkCenter]],'Resource Info'!A:B,2,FALSE), "0")</f>
        <v>Seed Health</v>
      </c>
      <c r="L183" s="6" t="str">
        <f>IFERROR(VLOOKUP(TableToday[[#This Row],[Pack Line]],'Resource Info'!B:C,2,FALSE),"0")</f>
        <v>Seed Health</v>
      </c>
      <c r="M18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3" s="62" t="str">
        <f>IF(OR(TableToday[[#This Row],[Department]]="SSV TREATPACK", TableToday[[#This Row],[Department]]="LSV TREATPACK"),8,"")</f>
        <v/>
      </c>
    </row>
    <row r="184" spans="1:14">
      <c r="A184" s="4" t="str">
        <f t="shared" si="4"/>
        <v>CACO</v>
      </c>
      <c r="B184" s="93" t="s">
        <v>280</v>
      </c>
      <c r="C184" s="90">
        <v>1002301912</v>
      </c>
      <c r="D184" s="91">
        <v>8</v>
      </c>
      <c r="E184" s="93" t="s">
        <v>14</v>
      </c>
      <c r="F184" s="66">
        <v>46290</v>
      </c>
      <c r="G184" s="67" t="s">
        <v>231</v>
      </c>
      <c r="H184" s="68"/>
      <c r="I184" s="12" t="str">
        <f t="shared" si="5"/>
        <v>NEW</v>
      </c>
      <c r="J184" s="5" t="str">
        <f>IFERROR(VLOOKUP(TableToday[[#This Row],[Prod. Order]],Components!A:B,2,FALSE), "0")</f>
        <v>PASSHLTH</v>
      </c>
      <c r="K184" s="5" t="str">
        <f>IFERROR(VLOOKUP(TableToday[[#This Row],[WorkCenter]],'Resource Info'!A:B,2,FALSE), "0")</f>
        <v>Seed Health</v>
      </c>
      <c r="L184" s="6" t="str">
        <f>IFERROR(VLOOKUP(TableToday[[#This Row],[Pack Line]],'Resource Info'!B:C,2,FALSE),"0")</f>
        <v>Seed Health</v>
      </c>
      <c r="M18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4" s="62" t="str">
        <f>IF(OR(TableToday[[#This Row],[Department]]="SSV TREATPACK", TableToday[[#This Row],[Department]]="LSV TREATPACK"),8,"")</f>
        <v/>
      </c>
    </row>
    <row r="185" spans="1:14">
      <c r="A185" s="4" t="str">
        <f t="shared" si="4"/>
        <v>CACO</v>
      </c>
      <c r="B185" s="93" t="s">
        <v>280</v>
      </c>
      <c r="C185" s="90">
        <v>1002301913</v>
      </c>
      <c r="D185" s="91">
        <v>15</v>
      </c>
      <c r="E185" s="93" t="s">
        <v>14</v>
      </c>
      <c r="F185" s="66">
        <v>46290</v>
      </c>
      <c r="G185" s="67" t="s">
        <v>231</v>
      </c>
      <c r="H185" s="68"/>
      <c r="I185" s="12" t="str">
        <f t="shared" si="5"/>
        <v>NEW</v>
      </c>
      <c r="J185" s="5" t="str">
        <f>IFERROR(VLOOKUP(TableToday[[#This Row],[Prod. Order]],Components!A:B,2,FALSE), "0")</f>
        <v>PASSHLTH</v>
      </c>
      <c r="K185" s="5" t="str">
        <f>IFERROR(VLOOKUP(TableToday[[#This Row],[WorkCenter]],'Resource Info'!A:B,2,FALSE), "0")</f>
        <v>Seed Health</v>
      </c>
      <c r="L185" s="6" t="str">
        <f>IFERROR(VLOOKUP(TableToday[[#This Row],[Pack Line]],'Resource Info'!B:C,2,FALSE),"0")</f>
        <v>Seed Health</v>
      </c>
      <c r="M18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5" s="62" t="str">
        <f>IF(OR(TableToday[[#This Row],[Department]]="SSV TREATPACK", TableToday[[#This Row],[Department]]="LSV TREATPACK"),8,"")</f>
        <v/>
      </c>
    </row>
    <row r="186" spans="1:14">
      <c r="A186" s="4" t="str">
        <f t="shared" si="4"/>
        <v>CACO</v>
      </c>
      <c r="B186" s="93" t="s">
        <v>280</v>
      </c>
      <c r="C186" s="90">
        <v>1002307960</v>
      </c>
      <c r="D186" s="91">
        <v>7</v>
      </c>
      <c r="E186" s="93" t="s">
        <v>14</v>
      </c>
      <c r="F186" s="66">
        <v>46314</v>
      </c>
      <c r="G186" s="67" t="s">
        <v>231</v>
      </c>
      <c r="H186" s="68"/>
      <c r="I186" s="12" t="str">
        <f t="shared" si="5"/>
        <v>NEW</v>
      </c>
      <c r="J186" s="5" t="str">
        <f>IFERROR(VLOOKUP(TableToday[[#This Row],[Prod. Order]],Components!A:B,2,FALSE), "0")</f>
        <v>PASSHLTH</v>
      </c>
      <c r="K186" s="5" t="str">
        <f>IFERROR(VLOOKUP(TableToday[[#This Row],[WorkCenter]],'Resource Info'!A:B,2,FALSE), "0")</f>
        <v>Seed Health</v>
      </c>
      <c r="L186" s="6" t="str">
        <f>IFERROR(VLOOKUP(TableToday[[#This Row],[Pack Line]],'Resource Info'!B:C,2,FALSE),"0")</f>
        <v>Seed Health</v>
      </c>
      <c r="M18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6" s="62" t="str">
        <f>IF(OR(TableToday[[#This Row],[Department]]="SSV TREATPACK", TableToday[[#This Row],[Department]]="LSV TREATPACK"),8,"")</f>
        <v/>
      </c>
    </row>
    <row r="187" spans="1:14">
      <c r="A187" s="4" t="str">
        <f t="shared" si="4"/>
        <v>CACO</v>
      </c>
      <c r="B187" s="93" t="s">
        <v>280</v>
      </c>
      <c r="C187" s="90">
        <v>1002307961</v>
      </c>
      <c r="D187" s="91">
        <v>12</v>
      </c>
      <c r="E187" s="93" t="s">
        <v>14</v>
      </c>
      <c r="F187" s="66">
        <v>46314</v>
      </c>
      <c r="G187" s="67" t="s">
        <v>231</v>
      </c>
      <c r="H187" s="68"/>
      <c r="I187" s="12" t="str">
        <f t="shared" si="5"/>
        <v>NEW</v>
      </c>
      <c r="J187" s="5" t="str">
        <f>IFERROR(VLOOKUP(TableToday[[#This Row],[Prod. Order]],Components!A:B,2,FALSE), "0")</f>
        <v>PASSHLTH</v>
      </c>
      <c r="K187" s="5" t="str">
        <f>IFERROR(VLOOKUP(TableToday[[#This Row],[WorkCenter]],'Resource Info'!A:B,2,FALSE), "0")</f>
        <v>Seed Health</v>
      </c>
      <c r="L187" s="6" t="str">
        <f>IFERROR(VLOOKUP(TableToday[[#This Row],[Pack Line]],'Resource Info'!B:C,2,FALSE),"0")</f>
        <v>Seed Health</v>
      </c>
      <c r="M18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7" s="62" t="str">
        <f>IF(OR(TableToday[[#This Row],[Department]]="SSV TREATPACK", TableToday[[#This Row],[Department]]="LSV TREATPACK"),8,"")</f>
        <v/>
      </c>
    </row>
    <row r="188" spans="1:14">
      <c r="A188" s="4" t="str">
        <f t="shared" si="4"/>
        <v>CACO</v>
      </c>
      <c r="B188" s="93" t="s">
        <v>270</v>
      </c>
      <c r="C188" s="90">
        <v>1002297552</v>
      </c>
      <c r="D188" s="91">
        <v>12</v>
      </c>
      <c r="E188" s="93" t="s">
        <v>14</v>
      </c>
      <c r="F188" s="66">
        <v>46279</v>
      </c>
      <c r="G188" s="67" t="s">
        <v>231</v>
      </c>
      <c r="H188" s="68"/>
      <c r="I188" s="12" t="str">
        <f t="shared" si="5"/>
        <v>NEW</v>
      </c>
      <c r="J188" s="5" t="str">
        <f>IFERROR(VLOOKUP(TableToday[[#This Row],[Prod. Order]],Components!A:B,2,FALSE), "0")</f>
        <v>PASSHLTH</v>
      </c>
      <c r="K188" s="5" t="str">
        <f>IFERROR(VLOOKUP(TableToday[[#This Row],[WorkCenter]],'Resource Info'!A:B,2,FALSE), "0")</f>
        <v>Seed Health</v>
      </c>
      <c r="L188" s="6" t="str">
        <f>IFERROR(VLOOKUP(TableToday[[#This Row],[Pack Line]],'Resource Info'!B:C,2,FALSE),"0")</f>
        <v>Seed Health</v>
      </c>
      <c r="M18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8" s="62" t="str">
        <f>IF(OR(TableToday[[#This Row],[Department]]="SSV TREATPACK", TableToday[[#This Row],[Department]]="LSV TREATPACK"),8,"")</f>
        <v/>
      </c>
    </row>
    <row r="189" spans="1:14">
      <c r="A189" s="4" t="str">
        <f t="shared" si="4"/>
        <v>CACO</v>
      </c>
      <c r="B189" s="93" t="s">
        <v>270</v>
      </c>
      <c r="C189" s="90">
        <v>1002297494</v>
      </c>
      <c r="D189" s="91">
        <v>15</v>
      </c>
      <c r="E189" s="93" t="s">
        <v>14</v>
      </c>
      <c r="F189" s="66">
        <v>46283</v>
      </c>
      <c r="G189" s="67" t="s">
        <v>231</v>
      </c>
      <c r="H189" s="68"/>
      <c r="I189" s="12" t="str">
        <f t="shared" si="5"/>
        <v>NEW</v>
      </c>
      <c r="J189" s="5" t="str">
        <f>IFERROR(VLOOKUP(TableToday[[#This Row],[Prod. Order]],Components!A:B,2,FALSE), "0")</f>
        <v>PASSHLTH</v>
      </c>
      <c r="K189" s="5" t="str">
        <f>IFERROR(VLOOKUP(TableToday[[#This Row],[WorkCenter]],'Resource Info'!A:B,2,FALSE), "0")</f>
        <v>Seed Health</v>
      </c>
      <c r="L189" s="6" t="str">
        <f>IFERROR(VLOOKUP(TableToday[[#This Row],[Pack Line]],'Resource Info'!B:C,2,FALSE),"0")</f>
        <v>Seed Health</v>
      </c>
      <c r="M18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89" s="62" t="str">
        <f>IF(OR(TableToday[[#This Row],[Department]]="SSV TREATPACK", TableToday[[#This Row],[Department]]="LSV TREATPACK"),8,"")</f>
        <v/>
      </c>
    </row>
    <row r="190" spans="1:14">
      <c r="A190" s="4" t="str">
        <f t="shared" si="4"/>
        <v>CACO</v>
      </c>
      <c r="B190" s="93" t="s">
        <v>270</v>
      </c>
      <c r="C190" s="90">
        <v>1002297496</v>
      </c>
      <c r="D190" s="91">
        <v>12</v>
      </c>
      <c r="E190" s="93" t="s">
        <v>14</v>
      </c>
      <c r="F190" s="66">
        <v>46283</v>
      </c>
      <c r="G190" s="67" t="s">
        <v>231</v>
      </c>
      <c r="H190" s="68"/>
      <c r="I190" s="12" t="str">
        <f t="shared" si="5"/>
        <v>NEW</v>
      </c>
      <c r="J190" s="5" t="str">
        <f>IFERROR(VLOOKUP(TableToday[[#This Row],[Prod. Order]],Components!A:B,2,FALSE), "0")</f>
        <v>PASSHLTH</v>
      </c>
      <c r="K190" s="5" t="str">
        <f>IFERROR(VLOOKUP(TableToday[[#This Row],[WorkCenter]],'Resource Info'!A:B,2,FALSE), "0")</f>
        <v>Seed Health</v>
      </c>
      <c r="L190" s="6" t="str">
        <f>IFERROR(VLOOKUP(TableToday[[#This Row],[Pack Line]],'Resource Info'!B:C,2,FALSE),"0")</f>
        <v>Seed Health</v>
      </c>
      <c r="M19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0" s="62" t="str">
        <f>IF(OR(TableToday[[#This Row],[Department]]="SSV TREATPACK", TableToday[[#This Row],[Department]]="LSV TREATPACK"),8,"")</f>
        <v/>
      </c>
    </row>
    <row r="191" spans="1:14">
      <c r="A191" s="4" t="str">
        <f t="shared" si="4"/>
        <v>CACO</v>
      </c>
      <c r="B191" s="93" t="s">
        <v>270</v>
      </c>
      <c r="C191" s="90">
        <v>1002297497</v>
      </c>
      <c r="D191" s="91">
        <v>8</v>
      </c>
      <c r="E191" s="93" t="s">
        <v>14</v>
      </c>
      <c r="F191" s="66">
        <v>46283</v>
      </c>
      <c r="G191" s="67" t="s">
        <v>231</v>
      </c>
      <c r="H191" s="68"/>
      <c r="I191" s="12" t="str">
        <f t="shared" si="5"/>
        <v>NEW</v>
      </c>
      <c r="J191" s="5" t="str">
        <f>IFERROR(VLOOKUP(TableToday[[#This Row],[Prod. Order]],Components!A:B,2,FALSE), "0")</f>
        <v>PASSHLTH</v>
      </c>
      <c r="K191" s="5" t="str">
        <f>IFERROR(VLOOKUP(TableToday[[#This Row],[WorkCenter]],'Resource Info'!A:B,2,FALSE), "0")</f>
        <v>Seed Health</v>
      </c>
      <c r="L191" s="6" t="str">
        <f>IFERROR(VLOOKUP(TableToday[[#This Row],[Pack Line]],'Resource Info'!B:C,2,FALSE),"0")</f>
        <v>Seed Health</v>
      </c>
      <c r="M19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1" s="62" t="str">
        <f>IF(OR(TableToday[[#This Row],[Department]]="SSV TREATPACK", TableToday[[#This Row],[Department]]="LSV TREATPACK"),8,"")</f>
        <v/>
      </c>
    </row>
    <row r="192" spans="1:14">
      <c r="A192" s="4" t="str">
        <f t="shared" si="4"/>
        <v>CACO</v>
      </c>
      <c r="B192" s="93" t="s">
        <v>270</v>
      </c>
      <c r="C192" s="90">
        <v>1002297548</v>
      </c>
      <c r="D192" s="91">
        <v>14</v>
      </c>
      <c r="E192" s="93" t="s">
        <v>14</v>
      </c>
      <c r="F192" s="66">
        <v>46283</v>
      </c>
      <c r="G192" s="67" t="s">
        <v>231</v>
      </c>
      <c r="H192" s="68"/>
      <c r="I192" s="12" t="str">
        <f t="shared" si="5"/>
        <v>NEW</v>
      </c>
      <c r="J192" s="5" t="str">
        <f>IFERROR(VLOOKUP(TableToday[[#This Row],[Prod. Order]],Components!A:B,2,FALSE), "0")</f>
        <v>PASSHLTH</v>
      </c>
      <c r="K192" s="5" t="str">
        <f>IFERROR(VLOOKUP(TableToday[[#This Row],[WorkCenter]],'Resource Info'!A:B,2,FALSE), "0")</f>
        <v>Seed Health</v>
      </c>
      <c r="L192" s="6" t="str">
        <f>IFERROR(VLOOKUP(TableToday[[#This Row],[Pack Line]],'Resource Info'!B:C,2,FALSE),"0")</f>
        <v>Seed Health</v>
      </c>
      <c r="M19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2" s="62" t="str">
        <f>IF(OR(TableToday[[#This Row],[Department]]="SSV TREATPACK", TableToday[[#This Row],[Department]]="LSV TREATPACK"),8,"")</f>
        <v/>
      </c>
    </row>
    <row r="193" spans="1:14">
      <c r="A193" s="4" t="str">
        <f t="shared" si="4"/>
        <v>CACO</v>
      </c>
      <c r="B193" s="93" t="s">
        <v>270</v>
      </c>
      <c r="C193" s="90">
        <v>1002297501</v>
      </c>
      <c r="D193" s="91">
        <v>13</v>
      </c>
      <c r="E193" s="93" t="s">
        <v>14</v>
      </c>
      <c r="F193" s="66">
        <v>46288</v>
      </c>
      <c r="G193" s="67" t="s">
        <v>231</v>
      </c>
      <c r="H193" s="68"/>
      <c r="I193" s="12" t="str">
        <f t="shared" si="5"/>
        <v>NEW</v>
      </c>
      <c r="J193" s="5" t="str">
        <f>IFERROR(VLOOKUP(TableToday[[#This Row],[Prod. Order]],Components!A:B,2,FALSE), "0")</f>
        <v>PASSHLTH</v>
      </c>
      <c r="K193" s="5" t="str">
        <f>IFERROR(VLOOKUP(TableToday[[#This Row],[WorkCenter]],'Resource Info'!A:B,2,FALSE), "0")</f>
        <v>Seed Health</v>
      </c>
      <c r="L193" s="6" t="str">
        <f>IFERROR(VLOOKUP(TableToday[[#This Row],[Pack Line]],'Resource Info'!B:C,2,FALSE),"0")</f>
        <v>Seed Health</v>
      </c>
      <c r="M19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3" s="62" t="str">
        <f>IF(OR(TableToday[[#This Row],[Department]]="SSV TREATPACK", TableToday[[#This Row],[Department]]="LSV TREATPACK"),8,"")</f>
        <v/>
      </c>
    </row>
    <row r="194" spans="1:14">
      <c r="A194" s="4" t="str">
        <f t="shared" ref="A194:A203" si="6">TRIM(LEFT(B194,4))</f>
        <v>CACO</v>
      </c>
      <c r="B194" s="93" t="s">
        <v>270</v>
      </c>
      <c r="C194" s="90">
        <v>1002297502</v>
      </c>
      <c r="D194" s="91">
        <v>14</v>
      </c>
      <c r="E194" s="93" t="s">
        <v>14</v>
      </c>
      <c r="F194" s="66">
        <v>46288</v>
      </c>
      <c r="G194" s="67" t="s">
        <v>231</v>
      </c>
      <c r="H194" s="68"/>
      <c r="I194" s="12" t="str">
        <f t="shared" ref="I194:I203" si="7">"NEW"</f>
        <v>NEW</v>
      </c>
      <c r="J194" s="5" t="str">
        <f>IFERROR(VLOOKUP(TableToday[[#This Row],[Prod. Order]],Components!A:B,2,FALSE), "0")</f>
        <v>PASSHLTH</v>
      </c>
      <c r="K194" s="5" t="str">
        <f>IFERROR(VLOOKUP(TableToday[[#This Row],[WorkCenter]],'Resource Info'!A:B,2,FALSE), "0")</f>
        <v>Seed Health</v>
      </c>
      <c r="L194" s="6" t="str">
        <f>IFERROR(VLOOKUP(TableToday[[#This Row],[Pack Line]],'Resource Info'!B:C,2,FALSE),"0")</f>
        <v>Seed Health</v>
      </c>
      <c r="M194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4" s="62" t="str">
        <f>IF(OR(TableToday[[#This Row],[Department]]="SSV TREATPACK", TableToday[[#This Row],[Department]]="LSV TREATPACK"),8,"")</f>
        <v/>
      </c>
    </row>
    <row r="195" spans="1:14">
      <c r="A195" s="4" t="str">
        <f t="shared" si="6"/>
        <v>CACO</v>
      </c>
      <c r="B195" s="93" t="s">
        <v>270</v>
      </c>
      <c r="C195" s="90">
        <v>1002297503</v>
      </c>
      <c r="D195" s="91">
        <v>12</v>
      </c>
      <c r="E195" s="93" t="s">
        <v>14</v>
      </c>
      <c r="F195" s="66">
        <v>46288</v>
      </c>
      <c r="G195" s="67" t="s">
        <v>231</v>
      </c>
      <c r="H195" s="68"/>
      <c r="I195" s="12" t="str">
        <f t="shared" si="7"/>
        <v>NEW</v>
      </c>
      <c r="J195" s="5" t="str">
        <f>IFERROR(VLOOKUP(TableToday[[#This Row],[Prod. Order]],Components!A:B,2,FALSE), "0")</f>
        <v>PASSHLTH</v>
      </c>
      <c r="K195" s="5" t="str">
        <f>IFERROR(VLOOKUP(TableToday[[#This Row],[WorkCenter]],'Resource Info'!A:B,2,FALSE), "0")</f>
        <v>Seed Health</v>
      </c>
      <c r="L195" s="6" t="str">
        <f>IFERROR(VLOOKUP(TableToday[[#This Row],[Pack Line]],'Resource Info'!B:C,2,FALSE),"0")</f>
        <v>Seed Health</v>
      </c>
      <c r="M195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5" s="62" t="str">
        <f>IF(OR(TableToday[[#This Row],[Department]]="SSV TREATPACK", TableToday[[#This Row],[Department]]="LSV TREATPACK"),8,"")</f>
        <v/>
      </c>
    </row>
    <row r="196" spans="1:14">
      <c r="A196" s="4" t="str">
        <f t="shared" si="6"/>
        <v>CACO</v>
      </c>
      <c r="B196" s="93" t="s">
        <v>270</v>
      </c>
      <c r="C196" s="90">
        <v>1002297504</v>
      </c>
      <c r="D196" s="91">
        <v>14</v>
      </c>
      <c r="E196" s="93" t="s">
        <v>14</v>
      </c>
      <c r="F196" s="66">
        <v>46288</v>
      </c>
      <c r="G196" s="67" t="s">
        <v>231</v>
      </c>
      <c r="H196" s="68"/>
      <c r="I196" s="12" t="str">
        <f t="shared" si="7"/>
        <v>NEW</v>
      </c>
      <c r="J196" s="5" t="str">
        <f>IFERROR(VLOOKUP(TableToday[[#This Row],[Prod. Order]],Components!A:B,2,FALSE), "0")</f>
        <v>PASSHLTH</v>
      </c>
      <c r="K196" s="5" t="str">
        <f>IFERROR(VLOOKUP(TableToday[[#This Row],[WorkCenter]],'Resource Info'!A:B,2,FALSE), "0")</f>
        <v>Seed Health</v>
      </c>
      <c r="L196" s="6" t="str">
        <f>IFERROR(VLOOKUP(TableToday[[#This Row],[Pack Line]],'Resource Info'!B:C,2,FALSE),"0")</f>
        <v>Seed Health</v>
      </c>
      <c r="M196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6" s="62" t="str">
        <f>IF(OR(TableToday[[#This Row],[Department]]="SSV TREATPACK", TableToday[[#This Row],[Department]]="LSV TREATPACK"),8,"")</f>
        <v/>
      </c>
    </row>
    <row r="197" spans="1:14">
      <c r="A197" s="4" t="str">
        <f t="shared" si="6"/>
        <v>CACO</v>
      </c>
      <c r="B197" s="93" t="s">
        <v>270</v>
      </c>
      <c r="C197" s="90">
        <v>1002297505</v>
      </c>
      <c r="D197" s="91">
        <v>14</v>
      </c>
      <c r="E197" s="93" t="s">
        <v>14</v>
      </c>
      <c r="F197" s="66">
        <v>46288</v>
      </c>
      <c r="G197" s="67" t="s">
        <v>231</v>
      </c>
      <c r="H197" s="68"/>
      <c r="I197" s="12" t="str">
        <f t="shared" si="7"/>
        <v>NEW</v>
      </c>
      <c r="J197" s="5" t="str">
        <f>IFERROR(VLOOKUP(TableToday[[#This Row],[Prod. Order]],Components!A:B,2,FALSE), "0")</f>
        <v>PASSHLTH</v>
      </c>
      <c r="K197" s="5" t="str">
        <f>IFERROR(VLOOKUP(TableToday[[#This Row],[WorkCenter]],'Resource Info'!A:B,2,FALSE), "0")</f>
        <v>Seed Health</v>
      </c>
      <c r="L197" s="6" t="str">
        <f>IFERROR(VLOOKUP(TableToday[[#This Row],[Pack Line]],'Resource Info'!B:C,2,FALSE),"0")</f>
        <v>Seed Health</v>
      </c>
      <c r="M197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7" s="62" t="str">
        <f>IF(OR(TableToday[[#This Row],[Department]]="SSV TREATPACK", TableToday[[#This Row],[Department]]="LSV TREATPACK"),8,"")</f>
        <v/>
      </c>
    </row>
    <row r="198" spans="1:14">
      <c r="A198" s="4" t="str">
        <f t="shared" si="6"/>
        <v>CACO</v>
      </c>
      <c r="B198" s="93" t="s">
        <v>270</v>
      </c>
      <c r="C198" s="90">
        <v>1002297546</v>
      </c>
      <c r="D198" s="91">
        <v>14</v>
      </c>
      <c r="E198" s="93" t="s">
        <v>14</v>
      </c>
      <c r="F198" s="66">
        <v>46288</v>
      </c>
      <c r="G198" s="67" t="s">
        <v>231</v>
      </c>
      <c r="H198" s="68"/>
      <c r="I198" s="12" t="str">
        <f t="shared" si="7"/>
        <v>NEW</v>
      </c>
      <c r="J198" s="5" t="str">
        <f>IFERROR(VLOOKUP(TableToday[[#This Row],[Prod. Order]],Components!A:B,2,FALSE), "0")</f>
        <v>PASSHLTH</v>
      </c>
      <c r="K198" s="5" t="str">
        <f>IFERROR(VLOOKUP(TableToday[[#This Row],[WorkCenter]],'Resource Info'!A:B,2,FALSE), "0")</f>
        <v>Seed Health</v>
      </c>
      <c r="L198" s="6" t="str">
        <f>IFERROR(VLOOKUP(TableToday[[#This Row],[Pack Line]],'Resource Info'!B:C,2,FALSE),"0")</f>
        <v>Seed Health</v>
      </c>
      <c r="M198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8" s="62" t="str">
        <f>IF(OR(TableToday[[#This Row],[Department]]="SSV TREATPACK", TableToday[[#This Row],[Department]]="LSV TREATPACK"),8,"")</f>
        <v/>
      </c>
    </row>
    <row r="199" spans="1:14">
      <c r="A199" s="4" t="str">
        <f t="shared" si="6"/>
        <v>CACO</v>
      </c>
      <c r="B199" s="93" t="s">
        <v>270</v>
      </c>
      <c r="C199" s="90">
        <v>1002297547</v>
      </c>
      <c r="D199" s="91">
        <v>14</v>
      </c>
      <c r="E199" s="93" t="s">
        <v>14</v>
      </c>
      <c r="F199" s="66">
        <v>46288</v>
      </c>
      <c r="G199" s="67" t="s">
        <v>231</v>
      </c>
      <c r="H199" s="68"/>
      <c r="I199" s="12" t="str">
        <f t="shared" si="7"/>
        <v>NEW</v>
      </c>
      <c r="J199" s="5" t="str">
        <f>IFERROR(VLOOKUP(TableToday[[#This Row],[Prod. Order]],Components!A:B,2,FALSE), "0")</f>
        <v>PASSHLTH</v>
      </c>
      <c r="K199" s="5" t="str">
        <f>IFERROR(VLOOKUP(TableToday[[#This Row],[WorkCenter]],'Resource Info'!A:B,2,FALSE), "0")</f>
        <v>Seed Health</v>
      </c>
      <c r="L199" s="6" t="str">
        <f>IFERROR(VLOOKUP(TableToday[[#This Row],[Pack Line]],'Resource Info'!B:C,2,FALSE),"0")</f>
        <v>Seed Health</v>
      </c>
      <c r="M199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199" s="62" t="str">
        <f>IF(OR(TableToday[[#This Row],[Department]]="SSV TREATPACK", TableToday[[#This Row],[Department]]="LSV TREATPACK"),8,"")</f>
        <v/>
      </c>
    </row>
    <row r="200" spans="1:14">
      <c r="A200" s="4" t="str">
        <f t="shared" si="6"/>
        <v>CACO</v>
      </c>
      <c r="B200" s="93" t="s">
        <v>270</v>
      </c>
      <c r="C200" s="90">
        <v>1002297550</v>
      </c>
      <c r="D200" s="91">
        <v>14</v>
      </c>
      <c r="E200" s="93" t="s">
        <v>14</v>
      </c>
      <c r="F200" s="66">
        <v>46288</v>
      </c>
      <c r="G200" s="67" t="s">
        <v>231</v>
      </c>
      <c r="H200" s="68"/>
      <c r="I200" s="12" t="str">
        <f t="shared" si="7"/>
        <v>NEW</v>
      </c>
      <c r="J200" s="5" t="str">
        <f>IFERROR(VLOOKUP(TableToday[[#This Row],[Prod. Order]],Components!A:B,2,FALSE), "0")</f>
        <v>PASSHLTH</v>
      </c>
      <c r="K200" s="5" t="str">
        <f>IFERROR(VLOOKUP(TableToday[[#This Row],[WorkCenter]],'Resource Info'!A:B,2,FALSE), "0")</f>
        <v>Seed Health</v>
      </c>
      <c r="L200" s="6" t="str">
        <f>IFERROR(VLOOKUP(TableToday[[#This Row],[Pack Line]],'Resource Info'!B:C,2,FALSE),"0")</f>
        <v>Seed Health</v>
      </c>
      <c r="M200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00" s="62" t="str">
        <f>IF(OR(TableToday[[#This Row],[Department]]="SSV TREATPACK", TableToday[[#This Row],[Department]]="LSV TREATPACK"),8,"")</f>
        <v/>
      </c>
    </row>
    <row r="201" spans="1:14">
      <c r="A201" s="4" t="str">
        <f t="shared" si="6"/>
        <v>CACO</v>
      </c>
      <c r="B201" s="93" t="s">
        <v>270</v>
      </c>
      <c r="C201" s="90">
        <v>1002297551</v>
      </c>
      <c r="D201" s="91">
        <v>2</v>
      </c>
      <c r="E201" s="93" t="s">
        <v>14</v>
      </c>
      <c r="F201" s="66">
        <v>46288</v>
      </c>
      <c r="G201" s="67" t="s">
        <v>231</v>
      </c>
      <c r="H201" s="68"/>
      <c r="I201" s="12" t="str">
        <f t="shared" si="7"/>
        <v>NEW</v>
      </c>
      <c r="J201" s="5" t="str">
        <f>IFERROR(VLOOKUP(TableToday[[#This Row],[Prod. Order]],Components!A:B,2,FALSE), "0")</f>
        <v>PASSHLTH</v>
      </c>
      <c r="K201" s="5" t="str">
        <f>IFERROR(VLOOKUP(TableToday[[#This Row],[WorkCenter]],'Resource Info'!A:B,2,FALSE), "0")</f>
        <v>Seed Health</v>
      </c>
      <c r="L201" s="6" t="str">
        <f>IFERROR(VLOOKUP(TableToday[[#This Row],[Pack Line]],'Resource Info'!B:C,2,FALSE),"0")</f>
        <v>Seed Health</v>
      </c>
      <c r="M201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01" s="62" t="str">
        <f>IF(OR(TableToday[[#This Row],[Department]]="SSV TREATPACK", TableToday[[#This Row],[Department]]="LSV TREATPACK"),8,"")</f>
        <v/>
      </c>
    </row>
    <row r="202" spans="1:14">
      <c r="A202" s="4" t="str">
        <f t="shared" si="6"/>
        <v>CUBS</v>
      </c>
      <c r="B202" s="93" t="s">
        <v>29</v>
      </c>
      <c r="C202" s="90">
        <v>1002180564</v>
      </c>
      <c r="D202" s="91">
        <v>1.66</v>
      </c>
      <c r="E202" s="93" t="s">
        <v>14</v>
      </c>
      <c r="F202" s="66">
        <v>46182</v>
      </c>
      <c r="G202" s="67" t="s">
        <v>30</v>
      </c>
      <c r="H202" s="68"/>
      <c r="I202" s="12" t="str">
        <f t="shared" si="7"/>
        <v>NEW</v>
      </c>
      <c r="J202" s="5" t="str">
        <f>IFERROR(VLOOKUP(TableToday[[#This Row],[Prod. Order]],Components!A:B,2,FALSE), "0")</f>
        <v>PASSHLTH</v>
      </c>
      <c r="K202" s="5" t="str">
        <f>IFERROR(VLOOKUP(TableToday[[#This Row],[WorkCenter]],'Resource Info'!A:B,2,FALSE), "0")</f>
        <v>Seed Health</v>
      </c>
      <c r="L202" s="6" t="str">
        <f>IFERROR(VLOOKUP(TableToday[[#This Row],[Pack Line]],'Resource Info'!B:C,2,FALSE),"0")</f>
        <v>Seed Health</v>
      </c>
      <c r="M202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02" s="62" t="str">
        <f>IF(OR(TableToday[[#This Row],[Department]]="SSV TREATPACK", TableToday[[#This Row],[Department]]="LSV TREATPACK"),8,"")</f>
        <v/>
      </c>
    </row>
    <row r="203" spans="1:14">
      <c r="A203" s="4" t="str">
        <f t="shared" si="6"/>
        <v>TOBS</v>
      </c>
      <c r="B203" s="93" t="s">
        <v>31</v>
      </c>
      <c r="C203" s="90">
        <v>1002154380</v>
      </c>
      <c r="D203" s="91">
        <v>0.2</v>
      </c>
      <c r="E203" s="93" t="s">
        <v>14</v>
      </c>
      <c r="F203" s="66">
        <v>46181</v>
      </c>
      <c r="G203" s="67" t="s">
        <v>32</v>
      </c>
      <c r="H203" s="68"/>
      <c r="I203" s="12" t="str">
        <f t="shared" si="7"/>
        <v>NEW</v>
      </c>
      <c r="J203" s="5" t="str">
        <f>IFERROR(VLOOKUP(TableToday[[#This Row],[Prod. Order]],Components!A:B,2,FALSE), "0")</f>
        <v>PASSHLTH</v>
      </c>
      <c r="K203" s="5" t="str">
        <f>IFERROR(VLOOKUP(TableToday[[#This Row],[WorkCenter]],'Resource Info'!A:B,2,FALSE), "0")</f>
        <v>Seed Health</v>
      </c>
      <c r="L203" s="6" t="str">
        <f>IFERROR(VLOOKUP(TableToday[[#This Row],[Pack Line]],'Resource Info'!B:C,2,FALSE),"0")</f>
        <v>Seed Health</v>
      </c>
      <c r="M203" s="5" t="str">
        <f>IF(OR(TableToday[[#This Row],[Department]]="SSV TREATPACK", TableToday[[#This Row],[Department]]="LSV TREATPACK"),
VLOOKUP(TableToday[[#This Row],[Pack Line]],'Packaging Rates'!$A$2:$C$9,3,FALSE)+
(TableToday[[#This Row],[Output
Qty]]/(VLOOKUP(TableToday[[#This Row],[Pack Line]],'Packaging Rates'!$A$2:$C$9,2,FALSE))),"")</f>
        <v/>
      </c>
      <c r="N203" s="62" t="str">
        <f>IF(OR(TableToday[[#This Row],[Department]]="SSV TREATPACK", TableToday[[#This Row],[Department]]="LSV TREATPACK"),8,"")</f>
        <v/>
      </c>
    </row>
  </sheetData>
  <dataConsolidate link="1"/>
  <conditionalFormatting sqref="B1:B1048576">
    <cfRule type="containsText" dxfId="13" priority="10" operator="containsText" text="183">
      <formula>NOT(ISERROR(SEARCH("183",B1)))</formula>
    </cfRule>
    <cfRule type="cellIs" dxfId="12" priority="11" operator="equal">
      <formula>183</formula>
    </cfRule>
  </conditionalFormatting>
  <conditionalFormatting sqref="C1:C1048576">
    <cfRule type="duplicateValues" dxfId="11" priority="7"/>
    <cfRule type="duplicateValues" dxfId="10" priority="8"/>
    <cfRule type="duplicateValues" dxfId="9" priority="9"/>
  </conditionalFormatting>
  <conditionalFormatting sqref="C2:C203">
    <cfRule type="duplicateValues" dxfId="8" priority="1"/>
    <cfRule type="duplicateValues" dxfId="7" priority="2"/>
    <cfRule type="duplicateValues" dxfId="6" priority="3"/>
  </conditionalFormatting>
  <conditionalFormatting sqref="G1:H1005388">
    <cfRule type="containsText" dxfId="5" priority="4" stopIfTrue="1" operator="containsText" text="CANCELLED">
      <formula>NOT(ISERROR(SEARCH("CANCELLED",G1)))</formula>
    </cfRule>
    <cfRule type="containsText" dxfId="4" priority="5" stopIfTrue="1" operator="containsText" text="on hold">
      <formula>NOT(ISERROR(SEARCH("on hold",G1)))</formula>
    </cfRule>
    <cfRule type="containsText" dxfId="3" priority="6" stopIfTrue="1" operator="containsText" text="Excelis">
      <formula>NOT(ISERROR(SEARCH("Excelis",G1)))</formula>
    </cfRule>
  </conditionalFormatting>
  <printOptions horizontalCentered="1"/>
  <pageMargins left="0.25" right="0.25" top="0.75" bottom="0.75" header="0.3" footer="0.3"/>
  <pageSetup scale="38" fitToHeight="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1">
    <tabColor rgb="FFFFC000"/>
  </sheetPr>
  <dimension ref="A1:B216"/>
  <sheetViews>
    <sheetView zoomScaleNormal="100" workbookViewId="0">
      <selection activeCell="B48" sqref="B48"/>
    </sheetView>
  </sheetViews>
  <sheetFormatPr baseColWidth="10" defaultColWidth="8.83203125" defaultRowHeight="15"/>
  <cols>
    <col min="1" max="1" width="24.1640625" customWidth="1"/>
    <col min="2" max="2" width="28" customWidth="1"/>
    <col min="5" max="5" width="10.83203125" bestFit="1" customWidth="1"/>
  </cols>
  <sheetData>
    <row r="1" spans="1:2" ht="16" thickBot="1">
      <c r="A1" s="94" t="s">
        <v>33</v>
      </c>
      <c r="B1" s="95"/>
    </row>
    <row r="2" spans="1:2" s="55" customFormat="1" ht="16">
      <c r="A2" s="56" t="s">
        <v>34</v>
      </c>
      <c r="B2" s="56" t="s">
        <v>35</v>
      </c>
    </row>
    <row r="3" spans="1:2">
      <c r="A3" s="65">
        <v>100028467</v>
      </c>
      <c r="B3" s="92" t="s">
        <v>36</v>
      </c>
    </row>
    <row r="4" spans="1:2">
      <c r="A4" s="65">
        <v>100028679</v>
      </c>
      <c r="B4" s="92" t="s">
        <v>36</v>
      </c>
    </row>
    <row r="5" spans="1:2">
      <c r="A5" s="65">
        <v>100028680</v>
      </c>
      <c r="B5" s="92" t="s">
        <v>36</v>
      </c>
    </row>
    <row r="6" spans="1:2">
      <c r="A6" s="65">
        <v>100028681</v>
      </c>
      <c r="B6" s="92" t="s">
        <v>36</v>
      </c>
    </row>
    <row r="7" spans="1:2">
      <c r="A7" s="65">
        <v>100028748</v>
      </c>
      <c r="B7" s="92" t="s">
        <v>40</v>
      </c>
    </row>
    <row r="8" spans="1:2">
      <c r="A8" s="65">
        <v>100028749</v>
      </c>
      <c r="B8" s="92" t="s">
        <v>36</v>
      </c>
    </row>
    <row r="9" spans="1:2">
      <c r="A9" s="65">
        <v>100028750</v>
      </c>
      <c r="B9" s="92" t="s">
        <v>36</v>
      </c>
    </row>
    <row r="10" spans="1:2">
      <c r="A10" s="65">
        <v>100028768</v>
      </c>
      <c r="B10" s="92" t="s">
        <v>36</v>
      </c>
    </row>
    <row r="11" spans="1:2">
      <c r="A11" s="65">
        <v>120000902</v>
      </c>
      <c r="B11" s="92" t="s">
        <v>42</v>
      </c>
    </row>
    <row r="12" spans="1:2">
      <c r="A12" s="65">
        <v>120000903</v>
      </c>
      <c r="B12" s="92" t="s">
        <v>42</v>
      </c>
    </row>
    <row r="13" spans="1:2">
      <c r="A13" s="65">
        <v>120000904</v>
      </c>
      <c r="B13" s="92" t="s">
        <v>42</v>
      </c>
    </row>
    <row r="14" spans="1:2">
      <c r="A14" s="65">
        <v>300097077</v>
      </c>
      <c r="B14" s="92" t="s">
        <v>37</v>
      </c>
    </row>
    <row r="15" spans="1:2">
      <c r="A15" s="65">
        <v>300102025</v>
      </c>
      <c r="B15" s="92" t="s">
        <v>39</v>
      </c>
    </row>
    <row r="16" spans="1:2">
      <c r="A16" s="65">
        <v>300102029</v>
      </c>
      <c r="B16" s="92" t="s">
        <v>37</v>
      </c>
    </row>
    <row r="17" spans="1:2">
      <c r="A17" s="65">
        <v>300102044</v>
      </c>
      <c r="B17" s="92" t="s">
        <v>37</v>
      </c>
    </row>
    <row r="18" spans="1:2">
      <c r="A18" s="65">
        <v>300102065</v>
      </c>
      <c r="B18" s="92" t="s">
        <v>37</v>
      </c>
    </row>
    <row r="19" spans="1:2">
      <c r="A19" s="65">
        <v>300102084</v>
      </c>
      <c r="B19" s="92" t="s">
        <v>37</v>
      </c>
    </row>
    <row r="20" spans="1:2">
      <c r="A20" s="65">
        <v>300102119</v>
      </c>
      <c r="B20" s="92" t="s">
        <v>44</v>
      </c>
    </row>
    <row r="21" spans="1:2">
      <c r="A21" s="65">
        <v>300102184</v>
      </c>
      <c r="B21" s="92" t="s">
        <v>37</v>
      </c>
    </row>
    <row r="22" spans="1:2">
      <c r="A22" s="65">
        <v>300102375</v>
      </c>
      <c r="B22" s="92" t="s">
        <v>37</v>
      </c>
    </row>
    <row r="23" spans="1:2">
      <c r="A23" s="65">
        <v>300102378</v>
      </c>
      <c r="B23" s="92" t="s">
        <v>37</v>
      </c>
    </row>
    <row r="24" spans="1:2">
      <c r="A24" s="65">
        <v>300102379</v>
      </c>
      <c r="B24" s="92" t="s">
        <v>37</v>
      </c>
    </row>
    <row r="25" spans="1:2">
      <c r="A25" s="65">
        <v>300102387</v>
      </c>
      <c r="B25" s="92" t="s">
        <v>40</v>
      </c>
    </row>
    <row r="26" spans="1:2">
      <c r="A26" s="65">
        <v>300102388</v>
      </c>
      <c r="B26" s="92" t="s">
        <v>40</v>
      </c>
    </row>
    <row r="27" spans="1:2">
      <c r="A27" s="65">
        <v>300102392</v>
      </c>
      <c r="B27" s="92" t="s">
        <v>38</v>
      </c>
    </row>
    <row r="28" spans="1:2">
      <c r="A28" s="65">
        <v>300102393</v>
      </c>
      <c r="B28" s="92" t="s">
        <v>38</v>
      </c>
    </row>
    <row r="29" spans="1:2">
      <c r="A29" s="65">
        <v>300102394</v>
      </c>
      <c r="B29" s="92" t="s">
        <v>38</v>
      </c>
    </row>
    <row r="30" spans="1:2">
      <c r="A30" s="65">
        <v>300102395</v>
      </c>
      <c r="B30" s="92" t="s">
        <v>38</v>
      </c>
    </row>
    <row r="31" spans="1:2">
      <c r="A31" s="65">
        <v>300102396</v>
      </c>
      <c r="B31" s="92" t="s">
        <v>38</v>
      </c>
    </row>
    <row r="32" spans="1:2">
      <c r="A32" s="65">
        <v>300102397</v>
      </c>
      <c r="B32" s="92" t="s">
        <v>38</v>
      </c>
    </row>
    <row r="33" spans="1:2">
      <c r="A33" s="65">
        <v>300102398</v>
      </c>
      <c r="B33" s="92" t="s">
        <v>38</v>
      </c>
    </row>
    <row r="34" spans="1:2">
      <c r="A34" s="65">
        <v>300102399</v>
      </c>
      <c r="B34" s="92" t="s">
        <v>38</v>
      </c>
    </row>
    <row r="35" spans="1:2">
      <c r="A35" s="65">
        <v>300102400</v>
      </c>
      <c r="B35" s="92" t="s">
        <v>38</v>
      </c>
    </row>
    <row r="36" spans="1:2">
      <c r="A36" s="65">
        <v>300102401</v>
      </c>
      <c r="B36" s="92" t="s">
        <v>38</v>
      </c>
    </row>
    <row r="37" spans="1:2">
      <c r="A37" s="65">
        <v>300102523</v>
      </c>
      <c r="B37" s="92" t="s">
        <v>46</v>
      </c>
    </row>
    <row r="38" spans="1:2">
      <c r="A38" s="65">
        <v>300102542</v>
      </c>
      <c r="B38" s="92" t="s">
        <v>38</v>
      </c>
    </row>
    <row r="39" spans="1:2">
      <c r="A39" s="65">
        <v>1002150398</v>
      </c>
      <c r="B39" s="92" t="s">
        <v>41</v>
      </c>
    </row>
    <row r="40" spans="1:2">
      <c r="A40" s="65">
        <v>1002154380</v>
      </c>
      <c r="B40" s="92" t="s">
        <v>36</v>
      </c>
    </row>
    <row r="41" spans="1:2">
      <c r="A41" s="65">
        <v>1002163895</v>
      </c>
      <c r="B41" s="92" t="s">
        <v>42</v>
      </c>
    </row>
    <row r="42" spans="1:2">
      <c r="A42" s="65">
        <v>1002173171</v>
      </c>
      <c r="B42" s="92" t="s">
        <v>36</v>
      </c>
    </row>
    <row r="43" spans="1:2">
      <c r="A43" s="65">
        <v>1002174855</v>
      </c>
      <c r="B43" s="92" t="s">
        <v>41</v>
      </c>
    </row>
    <row r="44" spans="1:2">
      <c r="A44" s="65">
        <v>1002176708</v>
      </c>
      <c r="B44" s="92" t="s">
        <v>36</v>
      </c>
    </row>
    <row r="45" spans="1:2">
      <c r="A45" s="65">
        <v>1002180564</v>
      </c>
      <c r="B45" s="92" t="s">
        <v>36</v>
      </c>
    </row>
    <row r="46" spans="1:2">
      <c r="A46" s="65">
        <v>1002181889</v>
      </c>
      <c r="B46" s="92" t="s">
        <v>41</v>
      </c>
    </row>
    <row r="47" spans="1:2">
      <c r="A47" s="65">
        <v>1002262558</v>
      </c>
      <c r="B47" s="92" t="s">
        <v>40</v>
      </c>
    </row>
    <row r="48" spans="1:2">
      <c r="A48" s="65">
        <v>1002266120</v>
      </c>
      <c r="B48" s="92" t="s">
        <v>42</v>
      </c>
    </row>
    <row r="49" spans="1:2">
      <c r="A49" s="65">
        <v>1002266350</v>
      </c>
      <c r="B49" s="92" t="s">
        <v>41</v>
      </c>
    </row>
    <row r="50" spans="1:2">
      <c r="A50" s="65">
        <v>1002266351</v>
      </c>
      <c r="B50" s="92" t="s">
        <v>41</v>
      </c>
    </row>
    <row r="51" spans="1:2">
      <c r="A51" s="65">
        <v>1002266356</v>
      </c>
      <c r="B51" s="92" t="s">
        <v>41</v>
      </c>
    </row>
    <row r="52" spans="1:2">
      <c r="A52" s="65">
        <v>1002266886</v>
      </c>
      <c r="B52" s="92" t="s">
        <v>41</v>
      </c>
    </row>
    <row r="53" spans="1:2">
      <c r="A53" s="65">
        <v>1002266889</v>
      </c>
      <c r="B53" s="92" t="s">
        <v>41</v>
      </c>
    </row>
    <row r="54" spans="1:2">
      <c r="A54" s="65">
        <v>1002266913</v>
      </c>
      <c r="B54" s="92" t="s">
        <v>41</v>
      </c>
    </row>
    <row r="55" spans="1:2">
      <c r="A55" s="65">
        <v>1002267630</v>
      </c>
      <c r="B55" s="92" t="s">
        <v>41</v>
      </c>
    </row>
    <row r="56" spans="1:2">
      <c r="A56" s="65">
        <v>1002270166</v>
      </c>
      <c r="B56" s="92" t="s">
        <v>42</v>
      </c>
    </row>
    <row r="57" spans="1:2">
      <c r="A57" s="65">
        <v>1002271911</v>
      </c>
      <c r="B57" s="92" t="s">
        <v>44</v>
      </c>
    </row>
    <row r="58" spans="1:2">
      <c r="A58" s="65">
        <v>1002271976</v>
      </c>
      <c r="B58" s="92" t="s">
        <v>44</v>
      </c>
    </row>
    <row r="59" spans="1:2">
      <c r="A59" s="65">
        <v>1002282491</v>
      </c>
      <c r="B59" s="92" t="s">
        <v>42</v>
      </c>
    </row>
    <row r="60" spans="1:2">
      <c r="A60" s="65">
        <v>1002290130</v>
      </c>
      <c r="B60" s="92" t="s">
        <v>36</v>
      </c>
    </row>
    <row r="61" spans="1:2">
      <c r="A61" s="65">
        <v>1002292927</v>
      </c>
      <c r="B61" s="92" t="s">
        <v>44</v>
      </c>
    </row>
    <row r="62" spans="1:2">
      <c r="A62" s="65">
        <v>1002294970</v>
      </c>
      <c r="B62" s="92" t="s">
        <v>43</v>
      </c>
    </row>
    <row r="63" spans="1:2">
      <c r="A63" s="65">
        <v>1002295402</v>
      </c>
      <c r="B63" s="92" t="s">
        <v>41</v>
      </c>
    </row>
    <row r="64" spans="1:2">
      <c r="A64" s="65">
        <v>1002295415</v>
      </c>
      <c r="B64" s="92" t="s">
        <v>41</v>
      </c>
    </row>
    <row r="65" spans="1:2">
      <c r="A65" s="65">
        <v>1002295419</v>
      </c>
      <c r="B65" s="92" t="s">
        <v>42</v>
      </c>
    </row>
    <row r="66" spans="1:2">
      <c r="A66" s="65">
        <v>1002297494</v>
      </c>
      <c r="B66" s="92" t="s">
        <v>36</v>
      </c>
    </row>
    <row r="67" spans="1:2">
      <c r="A67" s="65">
        <v>1002297496</v>
      </c>
      <c r="B67" s="92" t="s">
        <v>36</v>
      </c>
    </row>
    <row r="68" spans="1:2">
      <c r="A68" s="65">
        <v>1002297497</v>
      </c>
      <c r="B68" s="92" t="s">
        <v>36</v>
      </c>
    </row>
    <row r="69" spans="1:2">
      <c r="A69" s="65">
        <v>1002297501</v>
      </c>
      <c r="B69" s="92" t="s">
        <v>36</v>
      </c>
    </row>
    <row r="70" spans="1:2">
      <c r="A70" s="65">
        <v>1002297502</v>
      </c>
      <c r="B70" s="92" t="s">
        <v>36</v>
      </c>
    </row>
    <row r="71" spans="1:2">
      <c r="A71" s="65">
        <v>1002297503</v>
      </c>
      <c r="B71" s="92" t="s">
        <v>36</v>
      </c>
    </row>
    <row r="72" spans="1:2">
      <c r="A72" s="65">
        <v>1002297504</v>
      </c>
      <c r="B72" s="92" t="s">
        <v>36</v>
      </c>
    </row>
    <row r="73" spans="1:2">
      <c r="A73" s="65">
        <v>1002297505</v>
      </c>
      <c r="B73" s="92" t="s">
        <v>36</v>
      </c>
    </row>
    <row r="74" spans="1:2">
      <c r="A74" s="65">
        <v>1002297546</v>
      </c>
      <c r="B74" s="92" t="s">
        <v>36</v>
      </c>
    </row>
    <row r="75" spans="1:2">
      <c r="A75" s="65">
        <v>1002297547</v>
      </c>
      <c r="B75" s="92" t="s">
        <v>36</v>
      </c>
    </row>
    <row r="76" spans="1:2">
      <c r="A76" s="65">
        <v>1002297548</v>
      </c>
      <c r="B76" s="92" t="s">
        <v>36</v>
      </c>
    </row>
    <row r="77" spans="1:2">
      <c r="A77" s="65">
        <v>1002297550</v>
      </c>
      <c r="B77" s="92" t="s">
        <v>36</v>
      </c>
    </row>
    <row r="78" spans="1:2">
      <c r="A78" s="65">
        <v>1002297551</v>
      </c>
      <c r="B78" s="92" t="s">
        <v>36</v>
      </c>
    </row>
    <row r="79" spans="1:2">
      <c r="A79" s="65">
        <v>1002297552</v>
      </c>
      <c r="B79" s="92" t="s">
        <v>36</v>
      </c>
    </row>
    <row r="80" spans="1:2">
      <c r="A80" s="65">
        <v>1002298021</v>
      </c>
      <c r="B80" s="92" t="s">
        <v>43</v>
      </c>
    </row>
    <row r="81" spans="1:2">
      <c r="A81" s="65">
        <v>1002298024</v>
      </c>
      <c r="B81" s="92" t="s">
        <v>43</v>
      </c>
    </row>
    <row r="82" spans="1:2">
      <c r="A82" s="65">
        <v>1002298025</v>
      </c>
      <c r="B82" s="92" t="s">
        <v>43</v>
      </c>
    </row>
    <row r="83" spans="1:2">
      <c r="A83" s="65">
        <v>1002298227</v>
      </c>
      <c r="B83" s="92" t="s">
        <v>43</v>
      </c>
    </row>
    <row r="84" spans="1:2">
      <c r="A84" s="65">
        <v>1002299671</v>
      </c>
      <c r="B84" s="92" t="s">
        <v>43</v>
      </c>
    </row>
    <row r="85" spans="1:2">
      <c r="A85" s="65">
        <v>1002299673</v>
      </c>
      <c r="B85" s="92" t="s">
        <v>44</v>
      </c>
    </row>
    <row r="86" spans="1:2">
      <c r="A86" s="65">
        <v>1002300227</v>
      </c>
      <c r="B86" s="92" t="s">
        <v>36</v>
      </c>
    </row>
    <row r="87" spans="1:2">
      <c r="A87" s="65">
        <v>1002300228</v>
      </c>
      <c r="B87" s="92" t="s">
        <v>36</v>
      </c>
    </row>
    <row r="88" spans="1:2">
      <c r="A88" s="65">
        <v>1002300229</v>
      </c>
      <c r="B88" s="92" t="s">
        <v>36</v>
      </c>
    </row>
    <row r="89" spans="1:2">
      <c r="A89" s="65">
        <v>1002300810</v>
      </c>
      <c r="B89" s="92" t="s">
        <v>42</v>
      </c>
    </row>
    <row r="90" spans="1:2">
      <c r="A90" s="65">
        <v>1002300812</v>
      </c>
      <c r="B90" s="92" t="s">
        <v>42</v>
      </c>
    </row>
    <row r="91" spans="1:2">
      <c r="A91" s="65">
        <v>1002300813</v>
      </c>
      <c r="B91" s="92" t="s">
        <v>42</v>
      </c>
    </row>
    <row r="92" spans="1:2">
      <c r="A92" s="65">
        <v>1002300814</v>
      </c>
      <c r="B92" s="92" t="s">
        <v>42</v>
      </c>
    </row>
    <row r="93" spans="1:2">
      <c r="A93" s="65">
        <v>1002300816</v>
      </c>
      <c r="B93" s="92" t="s">
        <v>42</v>
      </c>
    </row>
    <row r="94" spans="1:2">
      <c r="A94" s="65">
        <v>1002300819</v>
      </c>
      <c r="B94" s="92" t="s">
        <v>42</v>
      </c>
    </row>
    <row r="95" spans="1:2">
      <c r="A95" s="65">
        <v>1002300820</v>
      </c>
      <c r="B95" s="92" t="s">
        <v>42</v>
      </c>
    </row>
    <row r="96" spans="1:2">
      <c r="A96" s="65">
        <v>1002300822</v>
      </c>
      <c r="B96" s="92" t="s">
        <v>42</v>
      </c>
    </row>
    <row r="97" spans="1:2">
      <c r="A97" s="65">
        <v>1002300825</v>
      </c>
      <c r="B97" s="92" t="s">
        <v>42</v>
      </c>
    </row>
    <row r="98" spans="1:2">
      <c r="A98" s="65">
        <v>1002300826</v>
      </c>
      <c r="B98" s="92" t="s">
        <v>42</v>
      </c>
    </row>
    <row r="99" spans="1:2">
      <c r="A99" s="65">
        <v>1002300828</v>
      </c>
      <c r="B99" s="92" t="s">
        <v>43</v>
      </c>
    </row>
    <row r="100" spans="1:2">
      <c r="A100" s="65">
        <v>1002300829</v>
      </c>
      <c r="B100" s="92" t="s">
        <v>43</v>
      </c>
    </row>
    <row r="101" spans="1:2">
      <c r="A101" s="65">
        <v>1002300973</v>
      </c>
      <c r="B101" s="92" t="s">
        <v>44</v>
      </c>
    </row>
    <row r="102" spans="1:2">
      <c r="A102" s="65">
        <v>1002300974</v>
      </c>
      <c r="B102" s="92" t="s">
        <v>43</v>
      </c>
    </row>
    <row r="103" spans="1:2">
      <c r="A103" s="65">
        <v>1002300975</v>
      </c>
      <c r="B103" s="92" t="s">
        <v>44</v>
      </c>
    </row>
    <row r="104" spans="1:2">
      <c r="A104" s="65">
        <v>1002300976</v>
      </c>
      <c r="B104" s="92" t="s">
        <v>44</v>
      </c>
    </row>
    <row r="105" spans="1:2">
      <c r="A105" s="65">
        <v>1002301022</v>
      </c>
      <c r="B105" s="92" t="s">
        <v>44</v>
      </c>
    </row>
    <row r="106" spans="1:2">
      <c r="A106" s="65">
        <v>1002301023</v>
      </c>
      <c r="B106" s="92" t="s">
        <v>44</v>
      </c>
    </row>
    <row r="107" spans="1:2">
      <c r="A107" s="65">
        <v>1002301138</v>
      </c>
      <c r="B107" s="92" t="s">
        <v>36</v>
      </c>
    </row>
    <row r="108" spans="1:2">
      <c r="A108" s="65">
        <v>1002301139</v>
      </c>
      <c r="B108" s="92" t="s">
        <v>36</v>
      </c>
    </row>
    <row r="109" spans="1:2">
      <c r="A109" s="65">
        <v>1002301140</v>
      </c>
      <c r="B109" s="92" t="s">
        <v>36</v>
      </c>
    </row>
    <row r="110" spans="1:2">
      <c r="A110" s="65">
        <v>1002301141</v>
      </c>
      <c r="B110" s="92" t="s">
        <v>36</v>
      </c>
    </row>
    <row r="111" spans="1:2">
      <c r="A111" s="65">
        <v>1002301228</v>
      </c>
      <c r="B111" s="92" t="s">
        <v>40</v>
      </c>
    </row>
    <row r="112" spans="1:2">
      <c r="A112" s="65">
        <v>1002301229</v>
      </c>
      <c r="B112" s="92" t="s">
        <v>40</v>
      </c>
    </row>
    <row r="113" spans="1:2">
      <c r="A113" s="65">
        <v>1002301912</v>
      </c>
      <c r="B113" s="92" t="s">
        <v>36</v>
      </c>
    </row>
    <row r="114" spans="1:2">
      <c r="A114" s="65">
        <v>1002301913</v>
      </c>
      <c r="B114" s="92" t="s">
        <v>36</v>
      </c>
    </row>
    <row r="115" spans="1:2">
      <c r="A115" s="65">
        <v>1002302295</v>
      </c>
      <c r="B115" s="92" t="s">
        <v>44</v>
      </c>
    </row>
    <row r="116" spans="1:2">
      <c r="A116" s="65">
        <v>1002302356</v>
      </c>
      <c r="B116" s="92" t="s">
        <v>40</v>
      </c>
    </row>
    <row r="117" spans="1:2">
      <c r="A117" s="65">
        <v>1002302357</v>
      </c>
      <c r="B117" s="92" t="s">
        <v>40</v>
      </c>
    </row>
    <row r="118" spans="1:2">
      <c r="A118" s="65">
        <v>1002302358</v>
      </c>
      <c r="B118" s="92" t="s">
        <v>40</v>
      </c>
    </row>
    <row r="119" spans="1:2">
      <c r="A119" s="65">
        <v>1002302359</v>
      </c>
      <c r="B119" s="92" t="s">
        <v>44</v>
      </c>
    </row>
    <row r="120" spans="1:2">
      <c r="A120" s="65">
        <v>1002302361</v>
      </c>
      <c r="B120" s="92" t="s">
        <v>44</v>
      </c>
    </row>
    <row r="121" spans="1:2">
      <c r="A121" s="65">
        <v>1002302362</v>
      </c>
      <c r="B121" s="92" t="s">
        <v>44</v>
      </c>
    </row>
    <row r="122" spans="1:2">
      <c r="A122" s="65">
        <v>1002302679</v>
      </c>
      <c r="B122" s="92" t="s">
        <v>43</v>
      </c>
    </row>
    <row r="123" spans="1:2">
      <c r="A123" s="65">
        <v>1002302748</v>
      </c>
      <c r="B123" s="92" t="s">
        <v>40</v>
      </c>
    </row>
    <row r="124" spans="1:2">
      <c r="A124" s="65">
        <v>1002302884</v>
      </c>
      <c r="B124" s="92" t="s">
        <v>42</v>
      </c>
    </row>
    <row r="125" spans="1:2">
      <c r="A125" s="65">
        <v>1002302885</v>
      </c>
      <c r="B125" s="92" t="s">
        <v>42</v>
      </c>
    </row>
    <row r="126" spans="1:2">
      <c r="A126" s="65">
        <v>1002302915</v>
      </c>
      <c r="B126" s="92" t="s">
        <v>41</v>
      </c>
    </row>
    <row r="127" spans="1:2">
      <c r="A127" s="65">
        <v>1002302916</v>
      </c>
      <c r="B127" s="92" t="s">
        <v>41</v>
      </c>
    </row>
    <row r="128" spans="1:2">
      <c r="A128" s="65">
        <v>1002303120</v>
      </c>
      <c r="B128" s="92" t="s">
        <v>42</v>
      </c>
    </row>
    <row r="129" spans="1:2">
      <c r="A129" s="65">
        <v>1002303189</v>
      </c>
      <c r="B129" s="92" t="s">
        <v>42</v>
      </c>
    </row>
    <row r="130" spans="1:2">
      <c r="A130" s="65">
        <v>1002303190</v>
      </c>
      <c r="B130" s="92" t="s">
        <v>42</v>
      </c>
    </row>
    <row r="131" spans="1:2">
      <c r="A131" s="65">
        <v>1002303193</v>
      </c>
      <c r="B131" s="92" t="s">
        <v>42</v>
      </c>
    </row>
    <row r="132" spans="1:2">
      <c r="A132" s="65">
        <v>1002303195</v>
      </c>
      <c r="B132" s="92" t="s">
        <v>42</v>
      </c>
    </row>
    <row r="133" spans="1:2">
      <c r="A133" s="65">
        <v>1002303196</v>
      </c>
      <c r="B133" s="92" t="s">
        <v>42</v>
      </c>
    </row>
    <row r="134" spans="1:2">
      <c r="A134" s="65">
        <v>1002303204</v>
      </c>
      <c r="B134" s="92" t="s">
        <v>42</v>
      </c>
    </row>
    <row r="135" spans="1:2">
      <c r="A135" s="65">
        <v>1002303211</v>
      </c>
      <c r="B135" s="92" t="s">
        <v>42</v>
      </c>
    </row>
    <row r="136" spans="1:2">
      <c r="A136" s="65">
        <v>1002303213</v>
      </c>
      <c r="B136" s="92" t="s">
        <v>42</v>
      </c>
    </row>
    <row r="137" spans="1:2">
      <c r="A137" s="65">
        <v>1002303218</v>
      </c>
      <c r="B137" s="92" t="s">
        <v>42</v>
      </c>
    </row>
    <row r="138" spans="1:2">
      <c r="A138" s="65">
        <v>1002303237</v>
      </c>
      <c r="B138" s="92" t="s">
        <v>42</v>
      </c>
    </row>
    <row r="139" spans="1:2">
      <c r="A139" s="65">
        <v>1002303238</v>
      </c>
      <c r="B139" s="92" t="s">
        <v>42</v>
      </c>
    </row>
    <row r="140" spans="1:2">
      <c r="A140" s="65">
        <v>1002303255</v>
      </c>
      <c r="B140" s="92" t="s">
        <v>44</v>
      </c>
    </row>
    <row r="141" spans="1:2">
      <c r="A141" s="65">
        <v>1002303256</v>
      </c>
      <c r="B141" s="92" t="s">
        <v>43</v>
      </c>
    </row>
    <row r="142" spans="1:2">
      <c r="A142" s="65">
        <v>1002303257</v>
      </c>
      <c r="B142" s="92" t="s">
        <v>43</v>
      </c>
    </row>
    <row r="143" spans="1:2">
      <c r="A143" s="65">
        <v>1002304236</v>
      </c>
      <c r="B143" s="92" t="s">
        <v>40</v>
      </c>
    </row>
    <row r="144" spans="1:2">
      <c r="A144" s="65">
        <v>1002304237</v>
      </c>
      <c r="B144" s="92" t="s">
        <v>40</v>
      </c>
    </row>
    <row r="145" spans="1:2">
      <c r="A145" s="65">
        <v>1002304238</v>
      </c>
      <c r="B145" s="92" t="s">
        <v>40</v>
      </c>
    </row>
    <row r="146" spans="1:2">
      <c r="A146" s="65">
        <v>1002304239</v>
      </c>
      <c r="B146" s="92" t="s">
        <v>44</v>
      </c>
    </row>
    <row r="147" spans="1:2">
      <c r="A147" s="65">
        <v>1002304240</v>
      </c>
      <c r="B147" s="92" t="s">
        <v>40</v>
      </c>
    </row>
    <row r="148" spans="1:2">
      <c r="A148" s="65">
        <v>1002304965</v>
      </c>
      <c r="B148" s="92" t="s">
        <v>42</v>
      </c>
    </row>
    <row r="149" spans="1:2">
      <c r="A149" s="65">
        <v>1002305105</v>
      </c>
      <c r="B149" s="92" t="s">
        <v>40</v>
      </c>
    </row>
    <row r="150" spans="1:2">
      <c r="A150" s="65">
        <v>1002305519</v>
      </c>
      <c r="B150" s="92" t="s">
        <v>42</v>
      </c>
    </row>
    <row r="151" spans="1:2">
      <c r="A151" s="65">
        <v>1002305614</v>
      </c>
      <c r="B151" s="92" t="s">
        <v>40</v>
      </c>
    </row>
    <row r="152" spans="1:2">
      <c r="A152" s="65">
        <v>1002305615</v>
      </c>
      <c r="B152" s="92" t="s">
        <v>40</v>
      </c>
    </row>
    <row r="153" spans="1:2">
      <c r="A153" s="65">
        <v>1002305616</v>
      </c>
      <c r="B153" s="92" t="s">
        <v>44</v>
      </c>
    </row>
    <row r="154" spans="1:2">
      <c r="A154" s="65">
        <v>1002305617</v>
      </c>
      <c r="B154" s="92" t="s">
        <v>40</v>
      </c>
    </row>
    <row r="155" spans="1:2">
      <c r="A155" s="65">
        <v>1002305699</v>
      </c>
      <c r="B155" s="92" t="s">
        <v>43</v>
      </c>
    </row>
    <row r="156" spans="1:2">
      <c r="A156" s="65">
        <v>1002305700</v>
      </c>
      <c r="B156" s="92" t="s">
        <v>44</v>
      </c>
    </row>
    <row r="157" spans="1:2">
      <c r="A157" s="65">
        <v>1002306285</v>
      </c>
      <c r="B157" s="92" t="s">
        <v>40</v>
      </c>
    </row>
    <row r="158" spans="1:2">
      <c r="A158" s="65">
        <v>1002306426</v>
      </c>
      <c r="B158" s="92" t="s">
        <v>40</v>
      </c>
    </row>
    <row r="159" spans="1:2">
      <c r="A159" s="65">
        <v>1002306427</v>
      </c>
      <c r="B159" s="92" t="s">
        <v>40</v>
      </c>
    </row>
    <row r="160" spans="1:2">
      <c r="A160" s="65">
        <v>1002306428</v>
      </c>
      <c r="B160" s="92" t="s">
        <v>40</v>
      </c>
    </row>
    <row r="161" spans="1:2">
      <c r="A161" s="65">
        <v>1002306429</v>
      </c>
      <c r="B161" s="92" t="s">
        <v>40</v>
      </c>
    </row>
    <row r="162" spans="1:2">
      <c r="A162" s="65">
        <v>1002307261</v>
      </c>
      <c r="B162" s="92" t="s">
        <v>42</v>
      </c>
    </row>
    <row r="163" spans="1:2">
      <c r="A163" s="65">
        <v>1002307491</v>
      </c>
      <c r="B163" s="92" t="s">
        <v>44</v>
      </c>
    </row>
    <row r="164" spans="1:2">
      <c r="A164" s="65">
        <v>1002307492</v>
      </c>
      <c r="B164" s="92" t="s">
        <v>40</v>
      </c>
    </row>
    <row r="165" spans="1:2">
      <c r="A165" s="65">
        <v>1002307493</v>
      </c>
      <c r="B165" s="92" t="s">
        <v>44</v>
      </c>
    </row>
    <row r="166" spans="1:2">
      <c r="A166" s="65">
        <v>1002307494</v>
      </c>
      <c r="B166" s="92" t="s">
        <v>44</v>
      </c>
    </row>
    <row r="167" spans="1:2">
      <c r="A167" s="65">
        <v>1002307495</v>
      </c>
      <c r="B167" s="92" t="s">
        <v>44</v>
      </c>
    </row>
    <row r="168" spans="1:2">
      <c r="A168" s="65">
        <v>1002307496</v>
      </c>
      <c r="B168" s="92" t="s">
        <v>44</v>
      </c>
    </row>
    <row r="169" spans="1:2">
      <c r="A169" s="65">
        <v>1002307550</v>
      </c>
      <c r="B169" s="92" t="s">
        <v>42</v>
      </c>
    </row>
    <row r="170" spans="1:2">
      <c r="A170" s="65">
        <v>1002307551</v>
      </c>
      <c r="B170" s="92" t="s">
        <v>42</v>
      </c>
    </row>
    <row r="171" spans="1:2">
      <c r="A171" s="65">
        <v>1002307552</v>
      </c>
      <c r="B171" s="92" t="s">
        <v>41</v>
      </c>
    </row>
    <row r="172" spans="1:2">
      <c r="A172" s="65">
        <v>1002307905</v>
      </c>
      <c r="B172" s="92" t="s">
        <v>42</v>
      </c>
    </row>
    <row r="173" spans="1:2">
      <c r="A173" s="65">
        <v>1002307954</v>
      </c>
      <c r="B173" s="92" t="s">
        <v>36</v>
      </c>
    </row>
    <row r="174" spans="1:2">
      <c r="A174" s="65">
        <v>1002307955</v>
      </c>
      <c r="B174" s="92" t="s">
        <v>36</v>
      </c>
    </row>
    <row r="175" spans="1:2">
      <c r="A175" s="65">
        <v>1002307956</v>
      </c>
      <c r="B175" s="92" t="s">
        <v>36</v>
      </c>
    </row>
    <row r="176" spans="1:2">
      <c r="A176" s="65">
        <v>1002307957</v>
      </c>
      <c r="B176" s="92" t="s">
        <v>36</v>
      </c>
    </row>
    <row r="177" spans="1:2">
      <c r="A177" s="65">
        <v>1002307958</v>
      </c>
      <c r="B177" s="92" t="s">
        <v>36</v>
      </c>
    </row>
    <row r="178" spans="1:2">
      <c r="A178" s="65">
        <v>1002307959</v>
      </c>
      <c r="B178" s="92" t="s">
        <v>36</v>
      </c>
    </row>
    <row r="179" spans="1:2">
      <c r="A179" s="65">
        <v>1002307960</v>
      </c>
      <c r="B179" s="92" t="s">
        <v>36</v>
      </c>
    </row>
    <row r="180" spans="1:2">
      <c r="A180" s="65">
        <v>1002307961</v>
      </c>
      <c r="B180" s="92" t="s">
        <v>36</v>
      </c>
    </row>
    <row r="181" spans="1:2">
      <c r="A181" s="65">
        <v>1002308866</v>
      </c>
      <c r="B181" s="92" t="s">
        <v>42</v>
      </c>
    </row>
    <row r="182" spans="1:2">
      <c r="A182" s="65">
        <v>1002309118</v>
      </c>
      <c r="B182" s="92" t="s">
        <v>43</v>
      </c>
    </row>
    <row r="183" spans="1:2">
      <c r="A183" s="65">
        <v>1002309119</v>
      </c>
      <c r="B183" s="92" t="s">
        <v>43</v>
      </c>
    </row>
    <row r="184" spans="1:2">
      <c r="A184" s="65">
        <v>1002309463</v>
      </c>
      <c r="B184" s="92" t="s">
        <v>42</v>
      </c>
    </row>
    <row r="185" spans="1:2">
      <c r="A185" s="65">
        <v>1002309500</v>
      </c>
      <c r="B185" s="92" t="s">
        <v>40</v>
      </c>
    </row>
    <row r="186" spans="1:2">
      <c r="A186" s="65">
        <v>1002309501</v>
      </c>
      <c r="B186" s="92" t="s">
        <v>40</v>
      </c>
    </row>
    <row r="187" spans="1:2">
      <c r="A187" s="65">
        <v>1002309502</v>
      </c>
      <c r="B187" s="92" t="s">
        <v>40</v>
      </c>
    </row>
    <row r="188" spans="1:2">
      <c r="A188" s="65">
        <v>1002309503</v>
      </c>
      <c r="B188" s="92" t="s">
        <v>40</v>
      </c>
    </row>
    <row r="189" spans="1:2">
      <c r="A189" s="65">
        <v>1002309504</v>
      </c>
      <c r="B189" s="92" t="s">
        <v>40</v>
      </c>
    </row>
    <row r="190" spans="1:2">
      <c r="A190" s="65">
        <v>1002309549</v>
      </c>
      <c r="B190" s="92" t="s">
        <v>40</v>
      </c>
    </row>
    <row r="191" spans="1:2">
      <c r="A191" s="65">
        <v>1002309552</v>
      </c>
      <c r="B191" s="92" t="s">
        <v>40</v>
      </c>
    </row>
    <row r="192" spans="1:2">
      <c r="A192" s="65">
        <v>2400007436</v>
      </c>
      <c r="B192" s="92" t="s">
        <v>37</v>
      </c>
    </row>
    <row r="193" spans="1:2">
      <c r="A193" s="65">
        <v>2400007696</v>
      </c>
      <c r="B193" s="92" t="s">
        <v>37</v>
      </c>
    </row>
    <row r="194" spans="1:2">
      <c r="A194" s="65">
        <v>2400007863</v>
      </c>
      <c r="B194" s="92" t="s">
        <v>37</v>
      </c>
    </row>
    <row r="195" spans="1:2">
      <c r="A195" s="65">
        <v>2400007882</v>
      </c>
      <c r="B195" s="92" t="s">
        <v>37</v>
      </c>
    </row>
    <row r="196" spans="1:2">
      <c r="A196" s="65">
        <v>2400007887</v>
      </c>
      <c r="B196" s="92" t="s">
        <v>37</v>
      </c>
    </row>
    <row r="197" spans="1:2">
      <c r="A197" s="65">
        <v>2400008011</v>
      </c>
      <c r="B197" s="92" t="s">
        <v>37</v>
      </c>
    </row>
    <row r="198" spans="1:2">
      <c r="A198" s="65">
        <v>2400008012</v>
      </c>
      <c r="B198" s="92" t="s">
        <v>37</v>
      </c>
    </row>
    <row r="199" spans="1:2">
      <c r="A199" s="65">
        <v>2400008019</v>
      </c>
      <c r="B199" s="92" t="s">
        <v>37</v>
      </c>
    </row>
    <row r="200" spans="1:2">
      <c r="A200" s="65">
        <v>2400008066</v>
      </c>
      <c r="B200" s="92" t="s">
        <v>37</v>
      </c>
    </row>
    <row r="201" spans="1:2">
      <c r="A201" s="65">
        <v>2400008067</v>
      </c>
      <c r="B201" s="92" t="s">
        <v>37</v>
      </c>
    </row>
    <row r="202" spans="1:2">
      <c r="A202" s="65">
        <v>2400008075</v>
      </c>
      <c r="B202" s="92" t="s">
        <v>37</v>
      </c>
    </row>
    <row r="203" spans="1:2">
      <c r="A203" s="65">
        <v>2400008076</v>
      </c>
      <c r="B203" s="92" t="s">
        <v>37</v>
      </c>
    </row>
    <row r="204" spans="1:2">
      <c r="A204" s="65">
        <v>2400008091</v>
      </c>
      <c r="B204" s="92" t="s">
        <v>37</v>
      </c>
    </row>
    <row r="205" spans="1:2">
      <c r="A205" s="65">
        <v>2400008094</v>
      </c>
      <c r="B205" s="92" t="s">
        <v>37</v>
      </c>
    </row>
    <row r="206" spans="1:2">
      <c r="A206" s="65">
        <v>2400008095</v>
      </c>
      <c r="B206" s="92" t="s">
        <v>37</v>
      </c>
    </row>
    <row r="207" spans="1:2">
      <c r="A207" s="65">
        <v>2400008116</v>
      </c>
      <c r="B207" s="92" t="s">
        <v>37</v>
      </c>
    </row>
    <row r="208" spans="1:2">
      <c r="A208" s="65">
        <v>2400008125</v>
      </c>
      <c r="B208" s="92" t="s">
        <v>37</v>
      </c>
    </row>
    <row r="209" spans="1:2">
      <c r="A209" s="65">
        <v>2400008126</v>
      </c>
      <c r="B209" s="92" t="s">
        <v>37</v>
      </c>
    </row>
    <row r="210" spans="1:2">
      <c r="A210" s="65">
        <v>2400008133</v>
      </c>
      <c r="B210" s="92" t="s">
        <v>37</v>
      </c>
    </row>
    <row r="211" spans="1:2">
      <c r="A211" s="65">
        <v>2400008150</v>
      </c>
      <c r="B211" s="92" t="s">
        <v>37</v>
      </c>
    </row>
    <row r="212" spans="1:2">
      <c r="A212" s="65">
        <v>2400008151</v>
      </c>
      <c r="B212" s="92" t="s">
        <v>37</v>
      </c>
    </row>
    <row r="213" spans="1:2">
      <c r="A213" s="65">
        <v>2400008180</v>
      </c>
      <c r="B213" s="92" t="s">
        <v>37</v>
      </c>
    </row>
    <row r="214" spans="1:2">
      <c r="A214" s="65">
        <v>2400008221</v>
      </c>
      <c r="B214" s="92" t="s">
        <v>37</v>
      </c>
    </row>
    <row r="215" spans="1:2">
      <c r="A215" s="65">
        <v>2400008268</v>
      </c>
      <c r="B215" s="92" t="s">
        <v>37</v>
      </c>
    </row>
    <row r="216" spans="1:2">
      <c r="A216" s="65">
        <v>2400008280</v>
      </c>
      <c r="B216" s="92" t="s">
        <v>37</v>
      </c>
    </row>
  </sheetData>
  <mergeCells count="1">
    <mergeCell ref="A1:B1"/>
  </mergeCells>
  <phoneticPr fontId="24" type="noConversion"/>
  <conditionalFormatting sqref="A3:A216">
    <cfRule type="duplicateValues" dxfId="2" priority="167764"/>
    <cfRule type="duplicateValues" dxfId="1" priority="167765"/>
    <cfRule type="duplicateValues" dxfId="0" priority="167766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6F2E-CEE0-467F-B813-7C7C2D7C12F0}">
  <dimension ref="A1:M2"/>
  <sheetViews>
    <sheetView workbookViewId="0">
      <selection activeCell="H17" sqref="H17"/>
    </sheetView>
  </sheetViews>
  <sheetFormatPr baseColWidth="10" defaultColWidth="8.83203125" defaultRowHeight="15"/>
  <cols>
    <col min="1" max="1" width="6.6640625" bestFit="1" customWidth="1"/>
    <col min="2" max="2" width="20.5" bestFit="1" customWidth="1"/>
    <col min="3" max="3" width="12.1640625" bestFit="1" customWidth="1"/>
    <col min="4" max="4" width="12.6640625" bestFit="1" customWidth="1"/>
    <col min="5" max="5" width="7.1640625" bestFit="1" customWidth="1"/>
    <col min="6" max="6" width="26.33203125" style="54" bestFit="1" customWidth="1"/>
    <col min="7" max="7" width="8.1640625" bestFit="1" customWidth="1"/>
    <col min="8" max="8" width="11.1640625" bestFit="1" customWidth="1"/>
    <col min="9" max="9" width="12.6640625" bestFit="1" customWidth="1"/>
    <col min="10" max="10" width="10.6640625" bestFit="1" customWidth="1"/>
    <col min="11" max="11" width="12.83203125" bestFit="1" customWidth="1"/>
    <col min="12" max="12" width="7.5" style="61" bestFit="1" customWidth="1"/>
    <col min="13" max="13" width="10.1640625" style="61" bestFit="1" customWidth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60" t="s">
        <v>12</v>
      </c>
      <c r="M1" s="60" t="s">
        <v>13</v>
      </c>
    </row>
    <row r="2" spans="1:13">
      <c r="M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16CC-E90A-4A9E-A05C-B4F7CF93D148}">
  <dimension ref="A1:M2"/>
  <sheetViews>
    <sheetView tabSelected="1" workbookViewId="0">
      <selection activeCell="B35" sqref="B35"/>
    </sheetView>
  </sheetViews>
  <sheetFormatPr baseColWidth="10" defaultColWidth="9" defaultRowHeight="15"/>
  <cols>
    <col min="1" max="1" width="6.6640625" style="2" bestFit="1" customWidth="1"/>
    <col min="2" max="2" width="20.5" style="2" bestFit="1" customWidth="1"/>
    <col min="3" max="3" width="12.1640625" style="2" bestFit="1" customWidth="1"/>
    <col min="4" max="4" width="12.6640625" style="2" bestFit="1" customWidth="1"/>
    <col min="5" max="5" width="7.1640625" style="2" bestFit="1" customWidth="1"/>
    <col min="6" max="6" width="26.33203125" style="59" bestFit="1" customWidth="1"/>
    <col min="7" max="7" width="8.1640625" style="2" bestFit="1" customWidth="1"/>
    <col min="8" max="8" width="11.1640625" style="2" bestFit="1" customWidth="1"/>
    <col min="9" max="9" width="12.6640625" style="2" bestFit="1" customWidth="1"/>
    <col min="10" max="10" width="10.6640625" style="2" bestFit="1" customWidth="1"/>
    <col min="11" max="11" width="12.83203125" style="2" bestFit="1" customWidth="1"/>
    <col min="12" max="12" width="7.5" style="60" bestFit="1" customWidth="1"/>
    <col min="13" max="13" width="10.1640625" style="60" bestFit="1" customWidth="1"/>
    <col min="14" max="16384" width="9" style="2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60" t="s">
        <v>12</v>
      </c>
      <c r="M1" s="60" t="s">
        <v>13</v>
      </c>
    </row>
    <row r="2" spans="1:13">
      <c r="L2" s="61"/>
      <c r="M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DC78-FEE0-4B56-9E23-1DF47EE2F646}">
  <dimension ref="A1:N44"/>
  <sheetViews>
    <sheetView workbookViewId="0">
      <selection activeCell="B12" sqref="B12"/>
    </sheetView>
  </sheetViews>
  <sheetFormatPr baseColWidth="10" defaultColWidth="8.83203125" defaultRowHeight="15"/>
  <cols>
    <col min="1" max="1" width="6.6640625" bestFit="1" customWidth="1"/>
    <col min="2" max="2" width="39.5" bestFit="1" customWidth="1"/>
    <col min="3" max="3" width="12.1640625" bestFit="1" customWidth="1"/>
    <col min="4" max="4" width="12.6640625" bestFit="1" customWidth="1"/>
    <col min="5" max="5" width="7.1640625" style="54" bestFit="1" customWidth="1"/>
    <col min="6" max="6" width="26.33203125" bestFit="1" customWidth="1"/>
    <col min="7" max="7" width="34.5" bestFit="1" customWidth="1"/>
    <col min="8" max="8" width="9" bestFit="1" customWidth="1"/>
    <col min="9" max="9" width="11.1640625" bestFit="1" customWidth="1"/>
    <col min="10" max="10" width="12.6640625" bestFit="1" customWidth="1"/>
    <col min="11" max="11" width="10.6640625" bestFit="1" customWidth="1"/>
    <col min="12" max="12" width="12.83203125" bestFit="1" customWidth="1"/>
    <col min="13" max="13" width="7.5" bestFit="1" customWidth="1"/>
    <col min="14" max="14" width="10.16406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spans="1:14">
      <c r="A2" s="2" t="s">
        <v>54</v>
      </c>
      <c r="B2" s="2" t="s">
        <v>383</v>
      </c>
      <c r="C2" s="2">
        <v>100028467</v>
      </c>
      <c r="D2" s="2">
        <v>752.5</v>
      </c>
      <c r="E2" s="2" t="s">
        <v>14</v>
      </c>
      <c r="F2" s="59">
        <v>46311</v>
      </c>
      <c r="G2" s="2" t="s">
        <v>382</v>
      </c>
      <c r="I2" s="2" t="s">
        <v>48</v>
      </c>
      <c r="J2" s="2" t="s">
        <v>36</v>
      </c>
      <c r="K2" s="2" t="s">
        <v>49</v>
      </c>
      <c r="L2" s="2" t="s">
        <v>49</v>
      </c>
      <c r="M2" t="s">
        <v>50</v>
      </c>
      <c r="N2" t="s">
        <v>50</v>
      </c>
    </row>
    <row r="3" spans="1:14">
      <c r="A3" s="2" t="s">
        <v>393</v>
      </c>
      <c r="B3" s="2" t="s">
        <v>381</v>
      </c>
      <c r="C3" s="2">
        <v>100028768</v>
      </c>
      <c r="D3" s="2">
        <v>317</v>
      </c>
      <c r="E3" s="2" t="s">
        <v>14</v>
      </c>
      <c r="F3" s="59">
        <v>46314</v>
      </c>
      <c r="G3" s="2" t="s">
        <v>382</v>
      </c>
      <c r="I3" s="2" t="s">
        <v>48</v>
      </c>
      <c r="J3" s="2" t="s">
        <v>36</v>
      </c>
      <c r="K3" s="2" t="s">
        <v>49</v>
      </c>
      <c r="L3" s="2" t="s">
        <v>49</v>
      </c>
      <c r="M3" t="s">
        <v>50</v>
      </c>
      <c r="N3" t="s">
        <v>50</v>
      </c>
    </row>
    <row r="4" spans="1:14">
      <c r="A4" s="2" t="s">
        <v>53</v>
      </c>
      <c r="B4" s="2" t="s">
        <v>258</v>
      </c>
      <c r="C4" s="2">
        <v>100028679</v>
      </c>
      <c r="D4" s="2">
        <v>90</v>
      </c>
      <c r="E4" s="2" t="s">
        <v>14</v>
      </c>
      <c r="F4" s="59">
        <v>46255</v>
      </c>
      <c r="G4" s="2" t="s">
        <v>259</v>
      </c>
      <c r="I4" s="2" t="s">
        <v>48</v>
      </c>
      <c r="J4" s="2" t="s">
        <v>36</v>
      </c>
      <c r="K4" s="2" t="s">
        <v>49</v>
      </c>
      <c r="L4" s="2" t="s">
        <v>49</v>
      </c>
      <c r="M4" t="s">
        <v>50</v>
      </c>
      <c r="N4" t="s">
        <v>50</v>
      </c>
    </row>
    <row r="5" spans="1:14">
      <c r="A5" s="2" t="s">
        <v>144</v>
      </c>
      <c r="B5" s="2" t="s">
        <v>262</v>
      </c>
      <c r="C5" s="2">
        <v>100028681</v>
      </c>
      <c r="D5" s="2">
        <v>19</v>
      </c>
      <c r="E5" s="2" t="s">
        <v>14</v>
      </c>
      <c r="F5" s="59">
        <v>46260</v>
      </c>
      <c r="G5" s="2" t="s">
        <v>235</v>
      </c>
      <c r="I5" s="2" t="s">
        <v>48</v>
      </c>
      <c r="J5" s="2" t="s">
        <v>36</v>
      </c>
      <c r="K5" s="2" t="s">
        <v>49</v>
      </c>
      <c r="L5" s="2" t="s">
        <v>49</v>
      </c>
      <c r="M5" t="s">
        <v>50</v>
      </c>
      <c r="N5" t="s">
        <v>50</v>
      </c>
    </row>
    <row r="6" spans="1:14">
      <c r="A6" s="2" t="s">
        <v>51</v>
      </c>
      <c r="B6" s="2" t="s">
        <v>273</v>
      </c>
      <c r="C6" s="2">
        <v>1002307955</v>
      </c>
      <c r="D6" s="2">
        <v>15</v>
      </c>
      <c r="E6" s="2" t="s">
        <v>14</v>
      </c>
      <c r="F6" s="59">
        <v>46310</v>
      </c>
      <c r="G6" s="2" t="s">
        <v>231</v>
      </c>
      <c r="I6" s="2" t="s">
        <v>48</v>
      </c>
      <c r="J6" s="2" t="s">
        <v>36</v>
      </c>
      <c r="K6" s="2" t="s">
        <v>49</v>
      </c>
      <c r="L6" s="2" t="s">
        <v>49</v>
      </c>
      <c r="M6" t="s">
        <v>50</v>
      </c>
      <c r="N6" t="s">
        <v>50</v>
      </c>
    </row>
    <row r="7" spans="1:14">
      <c r="A7" s="2" t="s">
        <v>51</v>
      </c>
      <c r="B7" s="2" t="s">
        <v>280</v>
      </c>
      <c r="C7" s="2">
        <v>1002301913</v>
      </c>
      <c r="D7" s="2">
        <v>15</v>
      </c>
      <c r="E7" s="2" t="s">
        <v>14</v>
      </c>
      <c r="F7" s="59">
        <v>46290</v>
      </c>
      <c r="G7" s="2" t="s">
        <v>231</v>
      </c>
      <c r="I7" s="2" t="s">
        <v>48</v>
      </c>
      <c r="J7" s="2" t="s">
        <v>36</v>
      </c>
      <c r="K7" s="2" t="s">
        <v>49</v>
      </c>
      <c r="L7" s="2" t="s">
        <v>49</v>
      </c>
      <c r="M7" t="s">
        <v>50</v>
      </c>
      <c r="N7" t="s">
        <v>50</v>
      </c>
    </row>
    <row r="8" spans="1:14">
      <c r="A8" s="2" t="s">
        <v>51</v>
      </c>
      <c r="B8" s="2" t="s">
        <v>270</v>
      </c>
      <c r="C8" s="2">
        <v>1002297494</v>
      </c>
      <c r="D8" s="2">
        <v>15</v>
      </c>
      <c r="E8" s="2" t="s">
        <v>14</v>
      </c>
      <c r="F8" s="59">
        <v>46283</v>
      </c>
      <c r="G8" s="2" t="s">
        <v>231</v>
      </c>
      <c r="I8" s="2" t="s">
        <v>48</v>
      </c>
      <c r="J8" s="2" t="s">
        <v>36</v>
      </c>
      <c r="K8" s="2" t="s">
        <v>49</v>
      </c>
      <c r="L8" s="2" t="s">
        <v>49</v>
      </c>
      <c r="M8" t="s">
        <v>50</v>
      </c>
      <c r="N8" t="s">
        <v>50</v>
      </c>
    </row>
    <row r="9" spans="1:14">
      <c r="A9" s="2" t="s">
        <v>51</v>
      </c>
      <c r="B9" s="2" t="s">
        <v>270</v>
      </c>
      <c r="C9" s="2">
        <v>1002297548</v>
      </c>
      <c r="D9" s="2">
        <v>14</v>
      </c>
      <c r="E9" s="2" t="s">
        <v>14</v>
      </c>
      <c r="F9" s="59">
        <v>46283</v>
      </c>
      <c r="G9" s="2" t="s">
        <v>231</v>
      </c>
      <c r="I9" s="2" t="s">
        <v>48</v>
      </c>
      <c r="J9" s="2" t="s">
        <v>36</v>
      </c>
      <c r="K9" s="2" t="s">
        <v>49</v>
      </c>
      <c r="L9" s="2" t="s">
        <v>49</v>
      </c>
      <c r="M9" t="s">
        <v>50</v>
      </c>
      <c r="N9" t="s">
        <v>50</v>
      </c>
    </row>
    <row r="10" spans="1:14">
      <c r="A10" s="2" t="s">
        <v>51</v>
      </c>
      <c r="B10" s="2" t="s">
        <v>270</v>
      </c>
      <c r="C10" s="2">
        <v>1002297502</v>
      </c>
      <c r="D10" s="2">
        <v>14</v>
      </c>
      <c r="E10" s="2" t="s">
        <v>14</v>
      </c>
      <c r="F10" s="59">
        <v>46288</v>
      </c>
      <c r="G10" s="2" t="s">
        <v>231</v>
      </c>
      <c r="I10" s="2" t="s">
        <v>48</v>
      </c>
      <c r="J10" s="2" t="s">
        <v>36</v>
      </c>
      <c r="K10" s="2" t="s">
        <v>49</v>
      </c>
      <c r="L10" s="2" t="s">
        <v>49</v>
      </c>
      <c r="M10" t="s">
        <v>50</v>
      </c>
      <c r="N10" t="s">
        <v>50</v>
      </c>
    </row>
    <row r="11" spans="1:14">
      <c r="A11" s="2" t="s">
        <v>51</v>
      </c>
      <c r="B11" s="2" t="s">
        <v>270</v>
      </c>
      <c r="C11" s="2">
        <v>1002297504</v>
      </c>
      <c r="D11" s="2">
        <v>14</v>
      </c>
      <c r="E11" s="2" t="s">
        <v>14</v>
      </c>
      <c r="F11" s="59">
        <v>46288</v>
      </c>
      <c r="G11" s="2" t="s">
        <v>231</v>
      </c>
      <c r="I11" s="2" t="s">
        <v>48</v>
      </c>
      <c r="J11" s="2" t="s">
        <v>36</v>
      </c>
      <c r="K11" s="2" t="s">
        <v>49</v>
      </c>
      <c r="L11" s="2" t="s">
        <v>49</v>
      </c>
      <c r="M11" t="s">
        <v>50</v>
      </c>
      <c r="N11" t="s">
        <v>50</v>
      </c>
    </row>
    <row r="12" spans="1:14">
      <c r="A12" s="2" t="s">
        <v>51</v>
      </c>
      <c r="B12" s="2" t="s">
        <v>270</v>
      </c>
      <c r="C12" s="2">
        <v>1002297505</v>
      </c>
      <c r="D12" s="2">
        <v>14</v>
      </c>
      <c r="E12" s="2" t="s">
        <v>14</v>
      </c>
      <c r="F12" s="59">
        <v>46288</v>
      </c>
      <c r="G12" s="2" t="s">
        <v>231</v>
      </c>
      <c r="I12" s="2" t="s">
        <v>48</v>
      </c>
      <c r="J12" s="2" t="s">
        <v>36</v>
      </c>
      <c r="K12" s="2" t="s">
        <v>49</v>
      </c>
      <c r="L12" s="2" t="s">
        <v>49</v>
      </c>
      <c r="M12" t="s">
        <v>50</v>
      </c>
      <c r="N12" t="s">
        <v>50</v>
      </c>
    </row>
    <row r="13" spans="1:14">
      <c r="A13" s="2" t="s">
        <v>51</v>
      </c>
      <c r="B13" s="2" t="s">
        <v>270</v>
      </c>
      <c r="C13" s="2">
        <v>1002297546</v>
      </c>
      <c r="D13" s="2">
        <v>14</v>
      </c>
      <c r="E13" s="2" t="s">
        <v>14</v>
      </c>
      <c r="F13" s="59">
        <v>46288</v>
      </c>
      <c r="G13" s="2" t="s">
        <v>231</v>
      </c>
      <c r="I13" s="2" t="s">
        <v>48</v>
      </c>
      <c r="J13" s="2" t="s">
        <v>36</v>
      </c>
      <c r="K13" s="2" t="s">
        <v>49</v>
      </c>
      <c r="L13" s="2" t="s">
        <v>49</v>
      </c>
      <c r="M13" t="s">
        <v>50</v>
      </c>
      <c r="N13" t="s">
        <v>50</v>
      </c>
    </row>
    <row r="14" spans="1:14">
      <c r="A14" s="2" t="s">
        <v>51</v>
      </c>
      <c r="B14" s="2" t="s">
        <v>270</v>
      </c>
      <c r="C14" s="2">
        <v>1002297547</v>
      </c>
      <c r="D14" s="2">
        <v>14</v>
      </c>
      <c r="E14" s="2" t="s">
        <v>14</v>
      </c>
      <c r="F14" s="59">
        <v>46288</v>
      </c>
      <c r="G14" s="2" t="s">
        <v>231</v>
      </c>
      <c r="I14" s="2" t="s">
        <v>48</v>
      </c>
      <c r="J14" s="2" t="s">
        <v>36</v>
      </c>
      <c r="K14" s="2" t="s">
        <v>49</v>
      </c>
      <c r="L14" s="2" t="s">
        <v>49</v>
      </c>
      <c r="M14" t="s">
        <v>50</v>
      </c>
      <c r="N14" t="s">
        <v>50</v>
      </c>
    </row>
    <row r="15" spans="1:14">
      <c r="A15" s="2" t="s">
        <v>51</v>
      </c>
      <c r="B15" s="2" t="s">
        <v>270</v>
      </c>
      <c r="C15" s="2">
        <v>1002297550</v>
      </c>
      <c r="D15" s="2">
        <v>14</v>
      </c>
      <c r="E15" s="2" t="s">
        <v>14</v>
      </c>
      <c r="F15" s="59">
        <v>46288</v>
      </c>
      <c r="G15" s="2" t="s">
        <v>231</v>
      </c>
      <c r="I15" s="2" t="s">
        <v>48</v>
      </c>
      <c r="J15" s="2" t="s">
        <v>36</v>
      </c>
      <c r="K15" s="2" t="s">
        <v>49</v>
      </c>
      <c r="L15" s="2" t="s">
        <v>49</v>
      </c>
      <c r="M15" t="s">
        <v>50</v>
      </c>
      <c r="N15" t="s">
        <v>50</v>
      </c>
    </row>
    <row r="16" spans="1:14">
      <c r="A16" s="2" t="s">
        <v>53</v>
      </c>
      <c r="B16" s="2" t="s">
        <v>372</v>
      </c>
      <c r="C16" s="2">
        <v>100028749</v>
      </c>
      <c r="D16" s="2">
        <v>13</v>
      </c>
      <c r="E16" s="2" t="s">
        <v>14</v>
      </c>
      <c r="F16" s="59">
        <v>46295</v>
      </c>
      <c r="G16" s="2" t="s">
        <v>373</v>
      </c>
      <c r="I16" s="2" t="s">
        <v>48</v>
      </c>
      <c r="J16" s="2" t="s">
        <v>36</v>
      </c>
      <c r="K16" s="2" t="s">
        <v>49</v>
      </c>
      <c r="L16" s="2" t="s">
        <v>49</v>
      </c>
      <c r="M16" t="s">
        <v>50</v>
      </c>
      <c r="N16" t="s">
        <v>50</v>
      </c>
    </row>
    <row r="17" spans="1:14">
      <c r="A17" s="2" t="s">
        <v>51</v>
      </c>
      <c r="B17" s="2" t="s">
        <v>270</v>
      </c>
      <c r="C17" s="2">
        <v>1002297501</v>
      </c>
      <c r="D17" s="2">
        <v>13</v>
      </c>
      <c r="E17" s="2" t="s">
        <v>14</v>
      </c>
      <c r="F17" s="59">
        <v>46288</v>
      </c>
      <c r="G17" s="2" t="s">
        <v>231</v>
      </c>
      <c r="I17" s="2" t="s">
        <v>48</v>
      </c>
      <c r="J17" s="2" t="s">
        <v>36</v>
      </c>
      <c r="K17" s="2" t="s">
        <v>49</v>
      </c>
      <c r="L17" s="2" t="s">
        <v>49</v>
      </c>
      <c r="M17" t="s">
        <v>50</v>
      </c>
      <c r="N17" t="s">
        <v>50</v>
      </c>
    </row>
    <row r="18" spans="1:14">
      <c r="A18" s="2" t="s">
        <v>51</v>
      </c>
      <c r="B18" s="2" t="s">
        <v>280</v>
      </c>
      <c r="C18" s="2">
        <v>1002307961</v>
      </c>
      <c r="D18" s="2">
        <v>12</v>
      </c>
      <c r="E18" s="2" t="s">
        <v>14</v>
      </c>
      <c r="F18" s="59">
        <v>46314</v>
      </c>
      <c r="G18" s="2" t="s">
        <v>231</v>
      </c>
      <c r="I18" s="2" t="s">
        <v>48</v>
      </c>
      <c r="J18" s="2" t="s">
        <v>36</v>
      </c>
      <c r="K18" s="2" t="s">
        <v>49</v>
      </c>
      <c r="L18" s="2" t="s">
        <v>49</v>
      </c>
      <c r="M18" t="s">
        <v>50</v>
      </c>
      <c r="N18" t="s">
        <v>50</v>
      </c>
    </row>
    <row r="19" spans="1:14">
      <c r="A19" s="2" t="s">
        <v>51</v>
      </c>
      <c r="B19" s="2" t="s">
        <v>270</v>
      </c>
      <c r="C19" s="2">
        <v>1002297552</v>
      </c>
      <c r="D19" s="2">
        <v>12</v>
      </c>
      <c r="E19" s="2" t="s">
        <v>14</v>
      </c>
      <c r="F19" s="59">
        <v>46279</v>
      </c>
      <c r="G19" s="2" t="s">
        <v>231</v>
      </c>
      <c r="I19" s="2" t="s">
        <v>48</v>
      </c>
      <c r="J19" s="2" t="s">
        <v>36</v>
      </c>
      <c r="K19" s="2" t="s">
        <v>49</v>
      </c>
      <c r="L19" s="2" t="s">
        <v>49</v>
      </c>
      <c r="M19" t="s">
        <v>50</v>
      </c>
      <c r="N19" t="s">
        <v>50</v>
      </c>
    </row>
    <row r="20" spans="1:14">
      <c r="A20" s="2" t="s">
        <v>51</v>
      </c>
      <c r="B20" s="2" t="s">
        <v>270</v>
      </c>
      <c r="C20" s="2">
        <v>1002297496</v>
      </c>
      <c r="D20" s="2">
        <v>12</v>
      </c>
      <c r="E20" s="2" t="s">
        <v>14</v>
      </c>
      <c r="F20" s="59">
        <v>46283</v>
      </c>
      <c r="G20" s="2" t="s">
        <v>231</v>
      </c>
      <c r="I20" s="2" t="s">
        <v>48</v>
      </c>
      <c r="J20" s="2" t="s">
        <v>36</v>
      </c>
      <c r="K20" s="2" t="s">
        <v>49</v>
      </c>
      <c r="L20" s="2" t="s">
        <v>49</v>
      </c>
      <c r="M20" t="s">
        <v>50</v>
      </c>
      <c r="N20" t="s">
        <v>50</v>
      </c>
    </row>
    <row r="21" spans="1:14">
      <c r="A21" s="2" t="s">
        <v>51</v>
      </c>
      <c r="B21" s="2" t="s">
        <v>270</v>
      </c>
      <c r="C21" s="2">
        <v>1002297503</v>
      </c>
      <c r="D21" s="2">
        <v>12</v>
      </c>
      <c r="E21" s="2" t="s">
        <v>14</v>
      </c>
      <c r="F21" s="59">
        <v>46288</v>
      </c>
      <c r="G21" s="2" t="s">
        <v>231</v>
      </c>
      <c r="I21" s="2" t="s">
        <v>48</v>
      </c>
      <c r="J21" s="2" t="s">
        <v>36</v>
      </c>
      <c r="K21" s="2" t="s">
        <v>49</v>
      </c>
      <c r="L21" s="2" t="s">
        <v>49</v>
      </c>
      <c r="M21" t="s">
        <v>50</v>
      </c>
      <c r="N21" t="s">
        <v>50</v>
      </c>
    </row>
    <row r="22" spans="1:14">
      <c r="A22" s="2" t="s">
        <v>52</v>
      </c>
      <c r="B22" s="2" t="s">
        <v>28</v>
      </c>
      <c r="C22" s="2">
        <v>1002173171</v>
      </c>
      <c r="D22" s="2">
        <v>11.531000000000001</v>
      </c>
      <c r="E22" s="2" t="s">
        <v>14</v>
      </c>
      <c r="F22" s="59">
        <v>45945</v>
      </c>
      <c r="G22" s="2" t="s">
        <v>27</v>
      </c>
      <c r="I22" s="2" t="s">
        <v>48</v>
      </c>
      <c r="J22" s="2" t="s">
        <v>36</v>
      </c>
      <c r="K22" s="2" t="s">
        <v>49</v>
      </c>
      <c r="L22" s="2" t="s">
        <v>49</v>
      </c>
      <c r="M22" t="s">
        <v>50</v>
      </c>
      <c r="N22" t="s">
        <v>50</v>
      </c>
    </row>
    <row r="23" spans="1:14">
      <c r="A23" s="2" t="s">
        <v>51</v>
      </c>
      <c r="B23" s="2" t="s">
        <v>280</v>
      </c>
      <c r="C23" s="2">
        <v>1002301140</v>
      </c>
      <c r="D23" s="2">
        <v>11</v>
      </c>
      <c r="E23" s="2" t="s">
        <v>14</v>
      </c>
      <c r="F23" s="59">
        <v>46287</v>
      </c>
      <c r="G23" s="2" t="s">
        <v>231</v>
      </c>
      <c r="I23" s="2" t="s">
        <v>48</v>
      </c>
      <c r="J23" s="2" t="s">
        <v>36</v>
      </c>
      <c r="K23" s="2" t="s">
        <v>49</v>
      </c>
      <c r="L23" s="2" t="s">
        <v>49</v>
      </c>
      <c r="M23" t="s">
        <v>50</v>
      </c>
      <c r="N23" t="s">
        <v>50</v>
      </c>
    </row>
    <row r="24" spans="1:14">
      <c r="A24" s="2" t="s">
        <v>51</v>
      </c>
      <c r="B24" s="2" t="s">
        <v>280</v>
      </c>
      <c r="C24" s="2">
        <v>1002301139</v>
      </c>
      <c r="D24" s="2">
        <v>10</v>
      </c>
      <c r="E24" s="2" t="s">
        <v>14</v>
      </c>
      <c r="F24" s="59">
        <v>46287</v>
      </c>
      <c r="G24" s="2" t="s">
        <v>231</v>
      </c>
      <c r="I24" s="2" t="s">
        <v>48</v>
      </c>
      <c r="J24" s="2" t="s">
        <v>36</v>
      </c>
      <c r="K24" s="2" t="s">
        <v>49</v>
      </c>
      <c r="L24" s="2" t="s">
        <v>49</v>
      </c>
      <c r="M24" t="s">
        <v>50</v>
      </c>
      <c r="N24" t="s">
        <v>50</v>
      </c>
    </row>
    <row r="25" spans="1:14">
      <c r="A25" s="2" t="s">
        <v>51</v>
      </c>
      <c r="B25" s="2" t="s">
        <v>273</v>
      </c>
      <c r="C25" s="2">
        <v>1002307954</v>
      </c>
      <c r="D25" s="2">
        <v>9.6</v>
      </c>
      <c r="E25" s="2" t="s">
        <v>14</v>
      </c>
      <c r="F25" s="59">
        <v>46310</v>
      </c>
      <c r="G25" s="2" t="s">
        <v>231</v>
      </c>
      <c r="I25" s="2" t="s">
        <v>48</v>
      </c>
      <c r="J25" s="2" t="s">
        <v>36</v>
      </c>
      <c r="K25" s="2" t="s">
        <v>49</v>
      </c>
      <c r="L25" s="2" t="s">
        <v>49</v>
      </c>
      <c r="M25" t="s">
        <v>50</v>
      </c>
      <c r="N25" t="s">
        <v>50</v>
      </c>
    </row>
    <row r="26" spans="1:14">
      <c r="A26" s="2" t="s">
        <v>51</v>
      </c>
      <c r="B26" s="2" t="s">
        <v>273</v>
      </c>
      <c r="C26" s="2">
        <v>1002300227</v>
      </c>
      <c r="D26" s="2">
        <v>9</v>
      </c>
      <c r="E26" s="2" t="s">
        <v>14</v>
      </c>
      <c r="F26" s="59">
        <v>46279</v>
      </c>
      <c r="G26" s="2" t="s">
        <v>231</v>
      </c>
      <c r="I26" s="2" t="s">
        <v>48</v>
      </c>
      <c r="J26" s="2" t="s">
        <v>36</v>
      </c>
      <c r="K26" s="2" t="s">
        <v>49</v>
      </c>
      <c r="L26" s="2" t="s">
        <v>49</v>
      </c>
      <c r="M26" t="s">
        <v>50</v>
      </c>
      <c r="N26" t="s">
        <v>50</v>
      </c>
    </row>
    <row r="27" spans="1:14">
      <c r="A27" s="2" t="s">
        <v>51</v>
      </c>
      <c r="B27" s="2" t="s">
        <v>273</v>
      </c>
      <c r="C27" s="2">
        <v>1002307956</v>
      </c>
      <c r="D27" s="2">
        <v>8</v>
      </c>
      <c r="E27" s="2" t="s">
        <v>14</v>
      </c>
      <c r="F27" s="59">
        <v>46310</v>
      </c>
      <c r="G27" s="2" t="s">
        <v>231</v>
      </c>
      <c r="I27" s="2" t="s">
        <v>48</v>
      </c>
      <c r="J27" s="2" t="s">
        <v>36</v>
      </c>
      <c r="K27" s="2" t="s">
        <v>49</v>
      </c>
      <c r="L27" s="2" t="s">
        <v>49</v>
      </c>
      <c r="M27" t="s">
        <v>50</v>
      </c>
      <c r="N27" t="s">
        <v>50</v>
      </c>
    </row>
    <row r="28" spans="1:14">
      <c r="A28" s="2" t="s">
        <v>51</v>
      </c>
      <c r="B28" s="2" t="s">
        <v>273</v>
      </c>
      <c r="C28" s="2">
        <v>1002307957</v>
      </c>
      <c r="D28" s="2">
        <v>8</v>
      </c>
      <c r="E28" s="2" t="s">
        <v>14</v>
      </c>
      <c r="F28" s="59">
        <v>46310</v>
      </c>
      <c r="G28" s="2" t="s">
        <v>231</v>
      </c>
      <c r="I28" s="2" t="s">
        <v>48</v>
      </c>
      <c r="J28" s="2" t="s">
        <v>36</v>
      </c>
      <c r="K28" s="2" t="s">
        <v>49</v>
      </c>
      <c r="L28" s="2" t="s">
        <v>49</v>
      </c>
      <c r="M28" t="s">
        <v>50</v>
      </c>
      <c r="N28" t="s">
        <v>50</v>
      </c>
    </row>
    <row r="29" spans="1:14">
      <c r="A29" s="2" t="s">
        <v>51</v>
      </c>
      <c r="B29" s="2" t="s">
        <v>280</v>
      </c>
      <c r="C29" s="2">
        <v>1002301912</v>
      </c>
      <c r="D29" s="2">
        <v>8</v>
      </c>
      <c r="E29" s="2" t="s">
        <v>14</v>
      </c>
      <c r="F29" s="59">
        <v>46290</v>
      </c>
      <c r="G29" s="2" t="s">
        <v>231</v>
      </c>
      <c r="I29" s="2" t="s">
        <v>48</v>
      </c>
      <c r="J29" s="2" t="s">
        <v>36</v>
      </c>
      <c r="K29" s="2" t="s">
        <v>49</v>
      </c>
      <c r="L29" s="2" t="s">
        <v>49</v>
      </c>
      <c r="M29" t="s">
        <v>50</v>
      </c>
      <c r="N29" t="s">
        <v>50</v>
      </c>
    </row>
    <row r="30" spans="1:14">
      <c r="A30" s="2" t="s">
        <v>51</v>
      </c>
      <c r="B30" s="2" t="s">
        <v>270</v>
      </c>
      <c r="C30" s="2">
        <v>1002297497</v>
      </c>
      <c r="D30" s="2">
        <v>8</v>
      </c>
      <c r="E30" s="2" t="s">
        <v>14</v>
      </c>
      <c r="F30" s="59">
        <v>46283</v>
      </c>
      <c r="G30" s="2" t="s">
        <v>231</v>
      </c>
      <c r="I30" s="2" t="s">
        <v>48</v>
      </c>
      <c r="J30" s="2" t="s">
        <v>36</v>
      </c>
      <c r="K30" s="2" t="s">
        <v>49</v>
      </c>
      <c r="L30" s="2" t="s">
        <v>49</v>
      </c>
      <c r="M30" t="s">
        <v>50</v>
      </c>
      <c r="N30" t="s">
        <v>50</v>
      </c>
    </row>
    <row r="31" spans="1:14">
      <c r="A31" s="2" t="s">
        <v>51</v>
      </c>
      <c r="B31" s="2" t="s">
        <v>279</v>
      </c>
      <c r="C31" s="2">
        <v>1002301141</v>
      </c>
      <c r="D31" s="2">
        <v>7.6</v>
      </c>
      <c r="E31" s="2" t="s">
        <v>14</v>
      </c>
      <c r="F31" s="59">
        <v>46287</v>
      </c>
      <c r="G31" s="2" t="s">
        <v>231</v>
      </c>
      <c r="I31" s="2" t="s">
        <v>48</v>
      </c>
      <c r="J31" s="2" t="s">
        <v>36</v>
      </c>
      <c r="K31" s="2" t="s">
        <v>49</v>
      </c>
      <c r="L31" s="2" t="s">
        <v>49</v>
      </c>
      <c r="M31" t="s">
        <v>50</v>
      </c>
      <c r="N31" t="s">
        <v>50</v>
      </c>
    </row>
    <row r="32" spans="1:14">
      <c r="A32" s="2" t="s">
        <v>144</v>
      </c>
      <c r="B32" s="2" t="s">
        <v>260</v>
      </c>
      <c r="C32" s="2">
        <v>100028680</v>
      </c>
      <c r="D32" s="2">
        <v>7.53</v>
      </c>
      <c r="E32" s="2" t="s">
        <v>14</v>
      </c>
      <c r="F32" s="59">
        <v>46258</v>
      </c>
      <c r="G32" s="2" t="s">
        <v>261</v>
      </c>
      <c r="I32" s="2" t="s">
        <v>48</v>
      </c>
      <c r="J32" s="2" t="s">
        <v>36</v>
      </c>
      <c r="K32" s="2" t="s">
        <v>49</v>
      </c>
      <c r="L32" s="2" t="s">
        <v>49</v>
      </c>
      <c r="M32" t="s">
        <v>50</v>
      </c>
      <c r="N32" t="s">
        <v>50</v>
      </c>
    </row>
    <row r="33" spans="1:14">
      <c r="A33" s="2" t="s">
        <v>51</v>
      </c>
      <c r="B33" s="2" t="s">
        <v>253</v>
      </c>
      <c r="C33" s="2">
        <v>1002290130</v>
      </c>
      <c r="D33" s="2">
        <v>7</v>
      </c>
      <c r="E33" s="2" t="s">
        <v>14</v>
      </c>
      <c r="F33" s="59">
        <v>46254</v>
      </c>
      <c r="G33" s="2" t="s">
        <v>231</v>
      </c>
      <c r="I33" s="2" t="s">
        <v>48</v>
      </c>
      <c r="J33" s="2" t="s">
        <v>36</v>
      </c>
      <c r="K33" s="2" t="s">
        <v>49</v>
      </c>
      <c r="L33" s="2" t="s">
        <v>49</v>
      </c>
      <c r="M33" t="s">
        <v>50</v>
      </c>
      <c r="N33" t="s">
        <v>50</v>
      </c>
    </row>
    <row r="34" spans="1:14">
      <c r="A34" s="2" t="s">
        <v>51</v>
      </c>
      <c r="B34" s="2" t="s">
        <v>280</v>
      </c>
      <c r="C34" s="2">
        <v>1002307960</v>
      </c>
      <c r="D34" s="2">
        <v>7</v>
      </c>
      <c r="E34" s="2" t="s">
        <v>14</v>
      </c>
      <c r="F34" s="59">
        <v>46314</v>
      </c>
      <c r="G34" s="2" t="s">
        <v>231</v>
      </c>
      <c r="I34" s="2" t="s">
        <v>48</v>
      </c>
      <c r="J34" s="2" t="s">
        <v>36</v>
      </c>
      <c r="K34" s="2" t="s">
        <v>49</v>
      </c>
      <c r="L34" s="2" t="s">
        <v>49</v>
      </c>
      <c r="M34" t="s">
        <v>50</v>
      </c>
      <c r="N34" t="s">
        <v>50</v>
      </c>
    </row>
    <row r="35" spans="1:14">
      <c r="A35" s="2" t="s">
        <v>53</v>
      </c>
      <c r="B35" s="2" t="s">
        <v>374</v>
      </c>
      <c r="C35" s="2">
        <v>100028750</v>
      </c>
      <c r="D35" s="2">
        <v>6.79</v>
      </c>
      <c r="E35" s="2" t="s">
        <v>14</v>
      </c>
      <c r="F35" s="59">
        <v>46295</v>
      </c>
      <c r="G35" s="2" t="s">
        <v>375</v>
      </c>
      <c r="I35" s="2" t="s">
        <v>48</v>
      </c>
      <c r="J35" s="2" t="s">
        <v>36</v>
      </c>
      <c r="K35" s="2" t="s">
        <v>49</v>
      </c>
      <c r="L35" s="2" t="s">
        <v>49</v>
      </c>
      <c r="M35" t="s">
        <v>50</v>
      </c>
      <c r="N35" t="s">
        <v>50</v>
      </c>
    </row>
    <row r="36" spans="1:14">
      <c r="A36" s="2" t="s">
        <v>51</v>
      </c>
      <c r="B36" s="2" t="s">
        <v>273</v>
      </c>
      <c r="C36" s="2">
        <v>1002301138</v>
      </c>
      <c r="D36" s="2">
        <v>6.5</v>
      </c>
      <c r="E36" s="2" t="s">
        <v>14</v>
      </c>
      <c r="F36" s="59">
        <v>46287</v>
      </c>
      <c r="G36" s="2" t="s">
        <v>231</v>
      </c>
      <c r="I36" s="2" t="s">
        <v>48</v>
      </c>
      <c r="J36" s="2" t="s">
        <v>36</v>
      </c>
      <c r="K36" s="2" t="s">
        <v>49</v>
      </c>
      <c r="L36" s="2" t="s">
        <v>49</v>
      </c>
      <c r="M36" t="s">
        <v>50</v>
      </c>
      <c r="N36" t="s">
        <v>50</v>
      </c>
    </row>
    <row r="37" spans="1:14">
      <c r="A37" s="2" t="s">
        <v>51</v>
      </c>
      <c r="B37" s="2" t="s">
        <v>273</v>
      </c>
      <c r="C37" s="2">
        <v>1002300228</v>
      </c>
      <c r="D37" s="2">
        <v>6</v>
      </c>
      <c r="E37" s="2" t="s">
        <v>14</v>
      </c>
      <c r="F37" s="59">
        <v>46279</v>
      </c>
      <c r="G37" s="2" t="s">
        <v>231</v>
      </c>
      <c r="I37" s="2" t="s">
        <v>48</v>
      </c>
      <c r="J37" s="2" t="s">
        <v>36</v>
      </c>
      <c r="K37" s="2" t="s">
        <v>49</v>
      </c>
      <c r="L37" s="2" t="s">
        <v>49</v>
      </c>
      <c r="M37" t="s">
        <v>50</v>
      </c>
      <c r="N37" t="s">
        <v>50</v>
      </c>
    </row>
    <row r="38" spans="1:14">
      <c r="A38" s="2" t="s">
        <v>51</v>
      </c>
      <c r="B38" s="2" t="s">
        <v>273</v>
      </c>
      <c r="C38" s="2">
        <v>1002307958</v>
      </c>
      <c r="D38" s="2">
        <v>6</v>
      </c>
      <c r="E38" s="2" t="s">
        <v>14</v>
      </c>
      <c r="F38" s="59">
        <v>46310</v>
      </c>
      <c r="G38" s="2" t="s">
        <v>231</v>
      </c>
      <c r="I38" s="2" t="s">
        <v>48</v>
      </c>
      <c r="J38" s="2" t="s">
        <v>36</v>
      </c>
      <c r="K38" s="2" t="s">
        <v>49</v>
      </c>
      <c r="L38" s="2" t="s">
        <v>49</v>
      </c>
      <c r="M38" t="s">
        <v>50</v>
      </c>
      <c r="N38" t="s">
        <v>50</v>
      </c>
    </row>
    <row r="39" spans="1:14">
      <c r="A39" s="2" t="s">
        <v>51</v>
      </c>
      <c r="B39" s="2" t="s">
        <v>273</v>
      </c>
      <c r="C39" s="2">
        <v>1002307959</v>
      </c>
      <c r="D39" s="2">
        <v>6</v>
      </c>
      <c r="E39" s="2" t="s">
        <v>14</v>
      </c>
      <c r="F39" s="59">
        <v>46310</v>
      </c>
      <c r="G39" s="2" t="s">
        <v>231</v>
      </c>
      <c r="I39" s="2" t="s">
        <v>48</v>
      </c>
      <c r="J39" s="2" t="s">
        <v>36</v>
      </c>
      <c r="K39" s="2" t="s">
        <v>49</v>
      </c>
      <c r="L39" s="2" t="s">
        <v>49</v>
      </c>
      <c r="M39" t="s">
        <v>50</v>
      </c>
      <c r="N39" t="s">
        <v>50</v>
      </c>
    </row>
    <row r="40" spans="1:14">
      <c r="A40" s="2" t="s">
        <v>52</v>
      </c>
      <c r="B40" s="2" t="s">
        <v>26</v>
      </c>
      <c r="C40" s="2">
        <v>1002176708</v>
      </c>
      <c r="D40" s="2">
        <v>4.55</v>
      </c>
      <c r="E40" s="2" t="s">
        <v>14</v>
      </c>
      <c r="F40" s="59">
        <v>46015</v>
      </c>
      <c r="G40" s="2" t="s">
        <v>27</v>
      </c>
      <c r="I40" s="2" t="s">
        <v>48</v>
      </c>
      <c r="J40" s="2" t="s">
        <v>36</v>
      </c>
      <c r="K40" s="2" t="s">
        <v>49</v>
      </c>
      <c r="L40" s="2" t="s">
        <v>49</v>
      </c>
      <c r="M40" t="s">
        <v>50</v>
      </c>
      <c r="N40" t="s">
        <v>50</v>
      </c>
    </row>
    <row r="41" spans="1:14">
      <c r="A41" s="2" t="s">
        <v>51</v>
      </c>
      <c r="B41" s="2" t="s">
        <v>273</v>
      </c>
      <c r="C41" s="2">
        <v>1002300229</v>
      </c>
      <c r="D41" s="2">
        <v>4.1900000000000004</v>
      </c>
      <c r="E41" s="2" t="s">
        <v>14</v>
      </c>
      <c r="F41" s="59">
        <v>46279</v>
      </c>
      <c r="G41" s="2" t="s">
        <v>231</v>
      </c>
      <c r="I41" s="2" t="s">
        <v>48</v>
      </c>
      <c r="J41" s="2" t="s">
        <v>36</v>
      </c>
      <c r="K41" s="2" t="s">
        <v>49</v>
      </c>
      <c r="L41" s="2" t="s">
        <v>49</v>
      </c>
      <c r="M41" t="s">
        <v>50</v>
      </c>
      <c r="N41" t="s">
        <v>50</v>
      </c>
    </row>
    <row r="42" spans="1:14">
      <c r="A42" s="2" t="s">
        <v>51</v>
      </c>
      <c r="B42" s="2" t="s">
        <v>270</v>
      </c>
      <c r="C42" s="2">
        <v>1002297551</v>
      </c>
      <c r="D42" s="2">
        <v>2</v>
      </c>
      <c r="E42" s="2" t="s">
        <v>14</v>
      </c>
      <c r="F42" s="59">
        <v>46288</v>
      </c>
      <c r="G42" s="2" t="s">
        <v>231</v>
      </c>
      <c r="I42" s="2" t="s">
        <v>48</v>
      </c>
      <c r="J42" s="2" t="s">
        <v>36</v>
      </c>
      <c r="K42" s="2" t="s">
        <v>49</v>
      </c>
      <c r="L42" s="2" t="s">
        <v>49</v>
      </c>
      <c r="M42" t="s">
        <v>50</v>
      </c>
      <c r="N42" t="s">
        <v>50</v>
      </c>
    </row>
    <row r="43" spans="1:14">
      <c r="A43" s="2" t="s">
        <v>47</v>
      </c>
      <c r="B43" s="2" t="s">
        <v>29</v>
      </c>
      <c r="C43" s="2">
        <v>1002180564</v>
      </c>
      <c r="D43" s="2">
        <v>1.66</v>
      </c>
      <c r="E43" s="2" t="s">
        <v>14</v>
      </c>
      <c r="F43" s="59">
        <v>46182</v>
      </c>
      <c r="G43" s="2" t="s">
        <v>30</v>
      </c>
      <c r="I43" s="2" t="s">
        <v>48</v>
      </c>
      <c r="J43" s="2" t="s">
        <v>36</v>
      </c>
      <c r="K43" s="2" t="s">
        <v>49</v>
      </c>
      <c r="L43" s="2" t="s">
        <v>49</v>
      </c>
      <c r="M43" t="s">
        <v>50</v>
      </c>
      <c r="N43" t="s">
        <v>50</v>
      </c>
    </row>
    <row r="44" spans="1:14">
      <c r="A44" s="2" t="s">
        <v>61</v>
      </c>
      <c r="B44" s="2" t="s">
        <v>31</v>
      </c>
      <c r="C44" s="2">
        <v>1002154380</v>
      </c>
      <c r="D44" s="2">
        <v>0.2</v>
      </c>
      <c r="E44" s="2" t="s">
        <v>14</v>
      </c>
      <c r="F44" s="59">
        <v>46181</v>
      </c>
      <c r="G44" s="2" t="s">
        <v>32</v>
      </c>
      <c r="I44" s="2" t="s">
        <v>48</v>
      </c>
      <c r="J44" s="2" t="s">
        <v>36</v>
      </c>
      <c r="K44" s="2" t="s">
        <v>49</v>
      </c>
      <c r="L44" s="2" t="s">
        <v>49</v>
      </c>
      <c r="M44" t="s">
        <v>50</v>
      </c>
      <c r="N44" t="s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FBA9-9242-4513-AB9D-431FF337EAB9}">
  <dimension ref="A1:N17"/>
  <sheetViews>
    <sheetView workbookViewId="0">
      <selection activeCell="B23" sqref="B23"/>
    </sheetView>
  </sheetViews>
  <sheetFormatPr baseColWidth="10" defaultColWidth="9" defaultRowHeight="15"/>
  <cols>
    <col min="1" max="1" width="6.6640625" style="2" bestFit="1" customWidth="1"/>
    <col min="2" max="2" width="35.1640625" style="2" bestFit="1" customWidth="1"/>
    <col min="3" max="3" width="12.1640625" style="2" bestFit="1" customWidth="1"/>
    <col min="4" max="4" width="12.6640625" style="2" bestFit="1" customWidth="1"/>
    <col min="5" max="5" width="7.1640625" style="2" bestFit="1" customWidth="1"/>
    <col min="6" max="6" width="26.33203125" style="59" bestFit="1" customWidth="1"/>
    <col min="7" max="7" width="32.6640625" style="2" bestFit="1" customWidth="1"/>
    <col min="8" max="8" width="9" style="2" bestFit="1" customWidth="1"/>
    <col min="9" max="9" width="11.1640625" style="2" bestFit="1" customWidth="1"/>
    <col min="10" max="10" width="12.6640625" style="2" bestFit="1" customWidth="1"/>
    <col min="11" max="11" width="14.1640625" style="2" bestFit="1" customWidth="1"/>
    <col min="12" max="12" width="14.33203125" style="2" bestFit="1" customWidth="1"/>
    <col min="13" max="13" width="7.5" style="2" bestFit="1" customWidth="1"/>
    <col min="14" max="14" width="10.1640625" style="2" bestFit="1" customWidth="1"/>
    <col min="15" max="16384" width="9" style="2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</row>
    <row r="2" spans="1:14">
      <c r="A2" s="2" t="s">
        <v>60</v>
      </c>
      <c r="B2" s="2" t="s">
        <v>275</v>
      </c>
      <c r="C2" s="2">
        <v>1002300828</v>
      </c>
      <c r="D2" s="2">
        <v>4500</v>
      </c>
      <c r="E2" s="2" t="s">
        <v>14</v>
      </c>
      <c r="F2" s="59">
        <v>46279</v>
      </c>
      <c r="G2" s="2" t="s">
        <v>266</v>
      </c>
      <c r="H2"/>
      <c r="I2" s="2" t="s">
        <v>48</v>
      </c>
      <c r="J2" s="2" t="s">
        <v>43</v>
      </c>
      <c r="K2" s="2" t="s">
        <v>56</v>
      </c>
      <c r="L2" s="2" t="s">
        <v>57</v>
      </c>
      <c r="M2" t="s">
        <v>50</v>
      </c>
      <c r="N2" t="s">
        <v>50</v>
      </c>
    </row>
    <row r="3" spans="1:14">
      <c r="A3" s="2" t="s">
        <v>60</v>
      </c>
      <c r="B3" s="2" t="s">
        <v>265</v>
      </c>
      <c r="C3" s="2">
        <v>1002305699</v>
      </c>
      <c r="D3" s="2">
        <v>1600</v>
      </c>
      <c r="E3" s="2" t="s">
        <v>14</v>
      </c>
      <c r="F3" s="59">
        <v>46303</v>
      </c>
      <c r="G3" s="2" t="s">
        <v>266</v>
      </c>
      <c r="H3"/>
      <c r="I3" s="2" t="s">
        <v>48</v>
      </c>
      <c r="J3" s="2" t="s">
        <v>43</v>
      </c>
      <c r="K3" s="2" t="s">
        <v>56</v>
      </c>
      <c r="L3" s="2" t="s">
        <v>57</v>
      </c>
      <c r="M3" t="s">
        <v>50</v>
      </c>
      <c r="N3" t="s">
        <v>50</v>
      </c>
    </row>
    <row r="4" spans="1:14">
      <c r="A4" s="2" t="s">
        <v>60</v>
      </c>
      <c r="B4" s="2" t="s">
        <v>265</v>
      </c>
      <c r="C4" s="2">
        <v>1002298227</v>
      </c>
      <c r="D4" s="2">
        <v>1380</v>
      </c>
      <c r="E4" s="2" t="s">
        <v>14</v>
      </c>
      <c r="F4" s="59">
        <v>46266</v>
      </c>
      <c r="G4" s="2" t="s">
        <v>266</v>
      </c>
      <c r="H4"/>
      <c r="I4" s="2" t="s">
        <v>48</v>
      </c>
      <c r="J4" s="2" t="s">
        <v>43</v>
      </c>
      <c r="K4" s="2" t="s">
        <v>56</v>
      </c>
      <c r="L4" s="2" t="s">
        <v>57</v>
      </c>
      <c r="M4" t="s">
        <v>50</v>
      </c>
      <c r="N4" t="s">
        <v>50</v>
      </c>
    </row>
    <row r="5" spans="1:14">
      <c r="A5" s="2" t="s">
        <v>54</v>
      </c>
      <c r="B5" s="2" t="s">
        <v>368</v>
      </c>
      <c r="C5" s="2">
        <v>1002309118</v>
      </c>
      <c r="D5" s="2">
        <v>727</v>
      </c>
      <c r="E5" s="2" t="s">
        <v>14</v>
      </c>
      <c r="F5" s="59">
        <v>46300</v>
      </c>
      <c r="G5" s="2" t="s">
        <v>369</v>
      </c>
      <c r="H5"/>
      <c r="I5" s="2" t="s">
        <v>48</v>
      </c>
      <c r="J5" s="2" t="s">
        <v>43</v>
      </c>
      <c r="K5" s="2" t="s">
        <v>56</v>
      </c>
      <c r="L5" s="2" t="s">
        <v>57</v>
      </c>
      <c r="M5" t="s">
        <v>50</v>
      </c>
      <c r="N5" t="s">
        <v>50</v>
      </c>
    </row>
    <row r="6" spans="1:14">
      <c r="A6" s="2" t="s">
        <v>60</v>
      </c>
      <c r="B6" s="2" t="s">
        <v>283</v>
      </c>
      <c r="C6" s="2">
        <v>1002302679</v>
      </c>
      <c r="D6" s="2">
        <v>500</v>
      </c>
      <c r="E6" s="2" t="s">
        <v>14</v>
      </c>
      <c r="F6" s="59">
        <v>46282</v>
      </c>
      <c r="G6" s="2" t="s">
        <v>21</v>
      </c>
      <c r="H6"/>
      <c r="I6" s="2" t="s">
        <v>48</v>
      </c>
      <c r="J6" s="2" t="s">
        <v>43</v>
      </c>
      <c r="K6" s="2" t="s">
        <v>56</v>
      </c>
      <c r="L6" s="2" t="s">
        <v>57</v>
      </c>
      <c r="M6" t="s">
        <v>50</v>
      </c>
      <c r="N6" t="s">
        <v>50</v>
      </c>
    </row>
    <row r="7" spans="1:14">
      <c r="A7" s="2" t="s">
        <v>54</v>
      </c>
      <c r="B7" s="2" t="s">
        <v>370</v>
      </c>
      <c r="C7" s="2">
        <v>1002309119</v>
      </c>
      <c r="D7" s="2">
        <v>375</v>
      </c>
      <c r="E7" s="2" t="s">
        <v>14</v>
      </c>
      <c r="F7" s="59">
        <v>46311</v>
      </c>
      <c r="G7" s="2" t="s">
        <v>371</v>
      </c>
      <c r="H7"/>
      <c r="I7" s="2" t="s">
        <v>48</v>
      </c>
      <c r="J7" s="2" t="s">
        <v>43</v>
      </c>
      <c r="K7" s="2" t="s">
        <v>56</v>
      </c>
      <c r="L7" s="2" t="s">
        <v>57</v>
      </c>
      <c r="M7" t="s">
        <v>50</v>
      </c>
      <c r="N7" t="s">
        <v>50</v>
      </c>
    </row>
    <row r="8" spans="1:14">
      <c r="A8" s="2" t="s">
        <v>55</v>
      </c>
      <c r="B8" s="2" t="s">
        <v>256</v>
      </c>
      <c r="C8" s="2">
        <v>1002294970</v>
      </c>
      <c r="D8" s="2">
        <v>330.5</v>
      </c>
      <c r="E8" s="2" t="s">
        <v>14</v>
      </c>
      <c r="F8" s="59">
        <v>46254</v>
      </c>
      <c r="G8" s="2" t="s">
        <v>19</v>
      </c>
      <c r="H8"/>
      <c r="I8" s="2" t="s">
        <v>48</v>
      </c>
      <c r="J8" s="2" t="s">
        <v>43</v>
      </c>
      <c r="K8" s="2" t="s">
        <v>56</v>
      </c>
      <c r="L8" s="2" t="s">
        <v>57</v>
      </c>
      <c r="M8" t="s">
        <v>50</v>
      </c>
      <c r="N8" t="s">
        <v>50</v>
      </c>
    </row>
    <row r="9" spans="1:14">
      <c r="A9" s="2" t="s">
        <v>60</v>
      </c>
      <c r="B9" s="2" t="s">
        <v>225</v>
      </c>
      <c r="C9" s="2">
        <v>1002303256</v>
      </c>
      <c r="D9" s="2">
        <v>325</v>
      </c>
      <c r="E9" s="2" t="s">
        <v>14</v>
      </c>
      <c r="F9" s="59">
        <v>46293</v>
      </c>
      <c r="G9" s="2" t="s">
        <v>21</v>
      </c>
      <c r="H9"/>
      <c r="I9" s="2" t="s">
        <v>48</v>
      </c>
      <c r="J9" s="2" t="s">
        <v>43</v>
      </c>
      <c r="K9" s="2" t="s">
        <v>56</v>
      </c>
      <c r="L9" s="2" t="s">
        <v>57</v>
      </c>
      <c r="M9" t="s">
        <v>50</v>
      </c>
      <c r="N9" t="s">
        <v>50</v>
      </c>
    </row>
    <row r="10" spans="1:14">
      <c r="A10" s="2" t="s">
        <v>144</v>
      </c>
      <c r="B10" s="2" t="s">
        <v>240</v>
      </c>
      <c r="C10" s="2">
        <v>300102025</v>
      </c>
      <c r="D10" s="2">
        <v>308</v>
      </c>
      <c r="E10" s="2" t="s">
        <v>14</v>
      </c>
      <c r="F10" s="59">
        <v>46232</v>
      </c>
      <c r="G10" s="2" t="s">
        <v>241</v>
      </c>
      <c r="H10"/>
      <c r="I10" s="2" t="s">
        <v>48</v>
      </c>
      <c r="J10" s="2" t="s">
        <v>39</v>
      </c>
      <c r="K10" s="2" t="s">
        <v>59</v>
      </c>
      <c r="L10" s="2" t="s">
        <v>57</v>
      </c>
      <c r="M10" t="s">
        <v>50</v>
      </c>
      <c r="N10" t="s">
        <v>50</v>
      </c>
    </row>
    <row r="11" spans="1:14">
      <c r="A11" s="2" t="s">
        <v>60</v>
      </c>
      <c r="B11" s="2" t="s">
        <v>225</v>
      </c>
      <c r="C11" s="2">
        <v>1002300829</v>
      </c>
      <c r="D11" s="2">
        <v>290</v>
      </c>
      <c r="E11" s="2" t="s">
        <v>14</v>
      </c>
      <c r="F11" s="59">
        <v>46280</v>
      </c>
      <c r="G11" s="2" t="s">
        <v>21</v>
      </c>
      <c r="H11"/>
      <c r="I11" s="2" t="s">
        <v>48</v>
      </c>
      <c r="J11" s="2" t="s">
        <v>43</v>
      </c>
      <c r="K11" s="2" t="s">
        <v>56</v>
      </c>
      <c r="L11" s="2" t="s">
        <v>57</v>
      </c>
      <c r="M11" t="s">
        <v>50</v>
      </c>
      <c r="N11" t="s">
        <v>50</v>
      </c>
    </row>
    <row r="12" spans="1:14">
      <c r="A12" s="2" t="s">
        <v>55</v>
      </c>
      <c r="B12" s="2" t="s">
        <v>272</v>
      </c>
      <c r="C12" s="2">
        <v>1002299671</v>
      </c>
      <c r="D12" s="2">
        <v>260.5</v>
      </c>
      <c r="E12" s="2" t="s">
        <v>14</v>
      </c>
      <c r="F12" s="59">
        <v>46269</v>
      </c>
      <c r="G12" s="2" t="s">
        <v>19</v>
      </c>
      <c r="H12"/>
      <c r="I12" s="2" t="s">
        <v>48</v>
      </c>
      <c r="J12" s="2" t="s">
        <v>43</v>
      </c>
      <c r="K12" s="2" t="s">
        <v>56</v>
      </c>
      <c r="L12" s="2" t="s">
        <v>57</v>
      </c>
      <c r="M12" t="s">
        <v>50</v>
      </c>
      <c r="N12" t="s">
        <v>50</v>
      </c>
    </row>
    <row r="13" spans="1:14">
      <c r="A13" s="2" t="s">
        <v>60</v>
      </c>
      <c r="B13" s="2" t="s">
        <v>263</v>
      </c>
      <c r="C13" s="2">
        <v>1002298024</v>
      </c>
      <c r="D13" s="2">
        <v>256</v>
      </c>
      <c r="E13" s="2" t="s">
        <v>14</v>
      </c>
      <c r="F13" s="59">
        <v>46266</v>
      </c>
      <c r="G13" s="2" t="s">
        <v>21</v>
      </c>
      <c r="H13"/>
      <c r="I13" s="2" t="s">
        <v>48</v>
      </c>
      <c r="J13" s="2" t="s">
        <v>43</v>
      </c>
      <c r="K13" s="2" t="s">
        <v>56</v>
      </c>
      <c r="L13" s="2" t="s">
        <v>57</v>
      </c>
      <c r="M13" t="s">
        <v>50</v>
      </c>
      <c r="N13" t="s">
        <v>50</v>
      </c>
    </row>
    <row r="14" spans="1:14">
      <c r="A14" s="2" t="s">
        <v>60</v>
      </c>
      <c r="B14" s="2" t="s">
        <v>269</v>
      </c>
      <c r="C14" s="2">
        <v>1002298021</v>
      </c>
      <c r="D14" s="2">
        <v>240</v>
      </c>
      <c r="E14" s="2" t="s">
        <v>14</v>
      </c>
      <c r="F14" s="59">
        <v>46265</v>
      </c>
      <c r="G14" s="2" t="s">
        <v>21</v>
      </c>
      <c r="H14"/>
      <c r="I14" s="2" t="s">
        <v>48</v>
      </c>
      <c r="J14" s="2" t="s">
        <v>43</v>
      </c>
      <c r="K14" s="2" t="s">
        <v>56</v>
      </c>
      <c r="L14" s="2" t="s">
        <v>57</v>
      </c>
      <c r="M14" t="s">
        <v>50</v>
      </c>
      <c r="N14" t="s">
        <v>50</v>
      </c>
    </row>
    <row r="15" spans="1:14">
      <c r="A15" s="2" t="s">
        <v>60</v>
      </c>
      <c r="B15" s="2" t="s">
        <v>254</v>
      </c>
      <c r="C15" s="2">
        <v>1002298025</v>
      </c>
      <c r="D15" s="2">
        <v>230</v>
      </c>
      <c r="E15" s="2" t="s">
        <v>14</v>
      </c>
      <c r="F15" s="59">
        <v>46266</v>
      </c>
      <c r="G15" s="2" t="s">
        <v>21</v>
      </c>
      <c r="H15"/>
      <c r="I15" s="2" t="s">
        <v>48</v>
      </c>
      <c r="J15" s="2" t="s">
        <v>43</v>
      </c>
      <c r="K15" s="2" t="s">
        <v>56</v>
      </c>
      <c r="L15" s="2" t="s">
        <v>57</v>
      </c>
      <c r="M15" t="s">
        <v>50</v>
      </c>
      <c r="N15" t="s">
        <v>50</v>
      </c>
    </row>
    <row r="16" spans="1:14">
      <c r="A16" s="2" t="s">
        <v>60</v>
      </c>
      <c r="B16" s="2" t="s">
        <v>294</v>
      </c>
      <c r="C16" s="2">
        <v>1002303257</v>
      </c>
      <c r="D16" s="2">
        <v>220</v>
      </c>
      <c r="E16" s="2" t="s">
        <v>14</v>
      </c>
      <c r="F16" s="59">
        <v>46290</v>
      </c>
      <c r="G16" s="2" t="s">
        <v>21</v>
      </c>
      <c r="H16"/>
      <c r="I16" s="2" t="s">
        <v>48</v>
      </c>
      <c r="J16" s="2" t="s">
        <v>43</v>
      </c>
      <c r="K16" s="2" t="s">
        <v>56</v>
      </c>
      <c r="L16" s="2" t="s">
        <v>57</v>
      </c>
      <c r="M16" t="s">
        <v>50</v>
      </c>
      <c r="N16" t="s">
        <v>50</v>
      </c>
    </row>
    <row r="17" spans="1:14">
      <c r="A17" s="2" t="s">
        <v>55</v>
      </c>
      <c r="B17" s="2" t="s">
        <v>256</v>
      </c>
      <c r="C17" s="2">
        <v>1002300974</v>
      </c>
      <c r="D17" s="2">
        <v>211.86500000000001</v>
      </c>
      <c r="E17" s="2" t="s">
        <v>14</v>
      </c>
      <c r="F17" s="59">
        <v>46279</v>
      </c>
      <c r="G17" s="2" t="s">
        <v>19</v>
      </c>
      <c r="H17"/>
      <c r="I17" s="2" t="s">
        <v>48</v>
      </c>
      <c r="J17" s="2" t="s">
        <v>43</v>
      </c>
      <c r="K17" s="2" t="s">
        <v>56</v>
      </c>
      <c r="L17" s="2" t="s">
        <v>57</v>
      </c>
      <c r="M17" t="s">
        <v>50</v>
      </c>
      <c r="N17" t="s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E44E-E539-45A7-A0F9-AD1B5275B85C}">
  <dimension ref="A1:N43"/>
  <sheetViews>
    <sheetView workbookViewId="0">
      <selection activeCell="F18" sqref="F18"/>
    </sheetView>
  </sheetViews>
  <sheetFormatPr baseColWidth="10" defaultColWidth="10.5" defaultRowHeight="15"/>
  <cols>
    <col min="1" max="1" width="6.6640625" bestFit="1" customWidth="1"/>
    <col min="2" max="2" width="35.1640625" bestFit="1" customWidth="1"/>
    <col min="3" max="3" width="12.1640625" bestFit="1" customWidth="1"/>
    <col min="4" max="4" width="12.6640625" bestFit="1" customWidth="1"/>
    <col min="5" max="5" width="7.1640625" bestFit="1" customWidth="1"/>
    <col min="6" max="6" width="26.33203125" style="54" bestFit="1" customWidth="1"/>
    <col min="7" max="7" width="33.33203125" bestFit="1" customWidth="1"/>
    <col min="8" max="8" width="9" bestFit="1" customWidth="1"/>
    <col min="9" max="9" width="11.1640625" bestFit="1" customWidth="1"/>
    <col min="10" max="10" width="12.6640625" bestFit="1" customWidth="1"/>
    <col min="11" max="11" width="14.1640625" bestFit="1" customWidth="1"/>
    <col min="12" max="12" width="14.33203125" bestFit="1" customWidth="1"/>
    <col min="13" max="13" width="7.5" bestFit="1" customWidth="1"/>
    <col min="14" max="14" width="10.16406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</row>
    <row r="2" spans="1:14">
      <c r="A2" s="2" t="s">
        <v>60</v>
      </c>
      <c r="B2" s="2" t="s">
        <v>301</v>
      </c>
      <c r="C2" s="2">
        <v>300102397</v>
      </c>
      <c r="D2" s="2">
        <v>1750</v>
      </c>
      <c r="E2" s="2" t="s">
        <v>20</v>
      </c>
      <c r="F2" s="59">
        <v>46308</v>
      </c>
      <c r="G2" s="2" t="s">
        <v>302</v>
      </c>
      <c r="I2" s="2" t="s">
        <v>48</v>
      </c>
      <c r="J2" s="2" t="s">
        <v>38</v>
      </c>
      <c r="K2" s="2" t="s">
        <v>64</v>
      </c>
      <c r="L2" s="2" t="s">
        <v>57</v>
      </c>
      <c r="M2" t="s">
        <v>50</v>
      </c>
      <c r="N2" t="s">
        <v>50</v>
      </c>
    </row>
    <row r="3" spans="1:14">
      <c r="A3" s="2" t="s">
        <v>55</v>
      </c>
      <c r="B3" s="2" t="s">
        <v>292</v>
      </c>
      <c r="C3" s="2">
        <v>100028748</v>
      </c>
      <c r="D3" s="2">
        <v>1630.2370000000001</v>
      </c>
      <c r="E3" s="2" t="s">
        <v>20</v>
      </c>
      <c r="F3" s="59">
        <v>46282</v>
      </c>
      <c r="G3" s="2" t="s">
        <v>293</v>
      </c>
      <c r="I3" s="2" t="s">
        <v>48</v>
      </c>
      <c r="J3" s="2" t="s">
        <v>40</v>
      </c>
      <c r="K3" s="2" t="s">
        <v>62</v>
      </c>
      <c r="L3" s="2" t="s">
        <v>57</v>
      </c>
      <c r="M3" t="s">
        <v>50</v>
      </c>
      <c r="N3" t="s">
        <v>50</v>
      </c>
    </row>
    <row r="4" spans="1:14">
      <c r="A4" s="2" t="s">
        <v>60</v>
      </c>
      <c r="B4" s="2" t="s">
        <v>283</v>
      </c>
      <c r="C4" s="2">
        <v>300102387</v>
      </c>
      <c r="D4" s="2">
        <v>1500</v>
      </c>
      <c r="E4" s="2" t="s">
        <v>20</v>
      </c>
      <c r="F4" s="59">
        <v>46300</v>
      </c>
      <c r="G4" s="2" t="s">
        <v>284</v>
      </c>
      <c r="I4" s="2" t="s">
        <v>48</v>
      </c>
      <c r="J4" s="2" t="s">
        <v>40</v>
      </c>
      <c r="K4" s="2" t="s">
        <v>62</v>
      </c>
      <c r="L4" s="2" t="s">
        <v>57</v>
      </c>
      <c r="M4" t="s">
        <v>50</v>
      </c>
      <c r="N4" t="s">
        <v>50</v>
      </c>
    </row>
    <row r="5" spans="1:14">
      <c r="A5" s="2" t="s">
        <v>60</v>
      </c>
      <c r="B5" s="2" t="s">
        <v>254</v>
      </c>
      <c r="C5" s="2">
        <v>300102399</v>
      </c>
      <c r="D5" s="2">
        <v>1400</v>
      </c>
      <c r="E5" s="2" t="s">
        <v>20</v>
      </c>
      <c r="F5" s="59">
        <v>46308</v>
      </c>
      <c r="G5" s="2" t="s">
        <v>308</v>
      </c>
      <c r="I5" s="2" t="s">
        <v>48</v>
      </c>
      <c r="J5" s="2" t="s">
        <v>38</v>
      </c>
      <c r="K5" s="2" t="s">
        <v>64</v>
      </c>
      <c r="L5" s="2" t="s">
        <v>57</v>
      </c>
      <c r="M5" t="s">
        <v>50</v>
      </c>
      <c r="N5" t="s">
        <v>50</v>
      </c>
    </row>
    <row r="6" spans="1:14">
      <c r="A6" s="2" t="s">
        <v>60</v>
      </c>
      <c r="B6" s="2" t="s">
        <v>301</v>
      </c>
      <c r="C6" s="2">
        <v>300102396</v>
      </c>
      <c r="D6" s="2">
        <v>1200</v>
      </c>
      <c r="E6" s="2" t="s">
        <v>20</v>
      </c>
      <c r="F6" s="59">
        <v>46308</v>
      </c>
      <c r="G6" s="2" t="s">
        <v>302</v>
      </c>
      <c r="I6" s="2" t="s">
        <v>48</v>
      </c>
      <c r="J6" s="2" t="s">
        <v>38</v>
      </c>
      <c r="K6" s="2" t="s">
        <v>64</v>
      </c>
      <c r="L6" s="2" t="s">
        <v>57</v>
      </c>
      <c r="M6" t="s">
        <v>50</v>
      </c>
      <c r="N6" t="s">
        <v>50</v>
      </c>
    </row>
    <row r="7" spans="1:14">
      <c r="A7" s="2" t="s">
        <v>60</v>
      </c>
      <c r="B7" s="2" t="s">
        <v>283</v>
      </c>
      <c r="C7" s="2">
        <v>300102400</v>
      </c>
      <c r="D7" s="2">
        <v>1200</v>
      </c>
      <c r="E7" s="2" t="s">
        <v>20</v>
      </c>
      <c r="F7" s="59">
        <v>46308</v>
      </c>
      <c r="G7" s="2" t="s">
        <v>307</v>
      </c>
      <c r="I7" s="2" t="s">
        <v>48</v>
      </c>
      <c r="J7" s="2" t="s">
        <v>38</v>
      </c>
      <c r="K7" s="2" t="s">
        <v>64</v>
      </c>
      <c r="L7" s="2" t="s">
        <v>57</v>
      </c>
      <c r="M7" t="s">
        <v>50</v>
      </c>
      <c r="N7" t="s">
        <v>50</v>
      </c>
    </row>
    <row r="8" spans="1:14">
      <c r="A8" s="2" t="s">
        <v>60</v>
      </c>
      <c r="B8" s="2" t="s">
        <v>274</v>
      </c>
      <c r="C8" s="2">
        <v>300102395</v>
      </c>
      <c r="D8" s="2">
        <v>1150</v>
      </c>
      <c r="E8" s="2" t="s">
        <v>20</v>
      </c>
      <c r="F8" s="59">
        <v>46308</v>
      </c>
      <c r="G8" s="2" t="s">
        <v>306</v>
      </c>
      <c r="I8" s="2" t="s">
        <v>48</v>
      </c>
      <c r="J8" s="2" t="s">
        <v>38</v>
      </c>
      <c r="K8" s="2" t="s">
        <v>64</v>
      </c>
      <c r="L8" s="2" t="s">
        <v>57</v>
      </c>
      <c r="M8" t="s">
        <v>50</v>
      </c>
      <c r="N8" t="s">
        <v>50</v>
      </c>
    </row>
    <row r="9" spans="1:14">
      <c r="A9" s="2" t="s">
        <v>60</v>
      </c>
      <c r="B9" s="2" t="s">
        <v>225</v>
      </c>
      <c r="C9" s="2">
        <v>300102392</v>
      </c>
      <c r="D9" s="2">
        <v>1150</v>
      </c>
      <c r="E9" s="2" t="s">
        <v>20</v>
      </c>
      <c r="F9" s="59">
        <v>46308</v>
      </c>
      <c r="G9" s="2" t="s">
        <v>310</v>
      </c>
      <c r="I9" s="2" t="s">
        <v>48</v>
      </c>
      <c r="J9" s="2" t="s">
        <v>38</v>
      </c>
      <c r="K9" s="2" t="s">
        <v>64</v>
      </c>
      <c r="L9" s="2" t="s">
        <v>57</v>
      </c>
      <c r="M9" t="s">
        <v>50</v>
      </c>
      <c r="N9" t="s">
        <v>50</v>
      </c>
    </row>
    <row r="10" spans="1:14">
      <c r="A10" s="2" t="s">
        <v>60</v>
      </c>
      <c r="B10" s="2" t="s">
        <v>225</v>
      </c>
      <c r="C10" s="2">
        <v>300102542</v>
      </c>
      <c r="D10" s="2">
        <v>900</v>
      </c>
      <c r="E10" s="2" t="s">
        <v>20</v>
      </c>
      <c r="F10" s="59">
        <v>46310</v>
      </c>
      <c r="G10" s="2" t="s">
        <v>322</v>
      </c>
      <c r="I10" s="2" t="s">
        <v>48</v>
      </c>
      <c r="J10" s="2" t="s">
        <v>38</v>
      </c>
      <c r="K10" s="2" t="s">
        <v>64</v>
      </c>
      <c r="L10" s="2" t="s">
        <v>57</v>
      </c>
      <c r="M10" t="s">
        <v>50</v>
      </c>
      <c r="N10" t="s">
        <v>50</v>
      </c>
    </row>
    <row r="11" spans="1:14">
      <c r="A11" s="2" t="s">
        <v>60</v>
      </c>
      <c r="B11" s="2" t="s">
        <v>274</v>
      </c>
      <c r="C11" s="2">
        <v>300102394</v>
      </c>
      <c r="D11" s="2">
        <v>750</v>
      </c>
      <c r="E11" s="2" t="s">
        <v>20</v>
      </c>
      <c r="F11" s="59">
        <v>46308</v>
      </c>
      <c r="G11" s="2" t="s">
        <v>305</v>
      </c>
      <c r="I11" s="2" t="s">
        <v>48</v>
      </c>
      <c r="J11" s="2" t="s">
        <v>38</v>
      </c>
      <c r="K11" s="2" t="s">
        <v>64</v>
      </c>
      <c r="L11" s="2" t="s">
        <v>57</v>
      </c>
      <c r="M11" t="s">
        <v>50</v>
      </c>
      <c r="N11" t="s">
        <v>50</v>
      </c>
    </row>
    <row r="12" spans="1:14">
      <c r="A12" s="2" t="s">
        <v>60</v>
      </c>
      <c r="B12" s="2" t="s">
        <v>286</v>
      </c>
      <c r="C12" s="2">
        <v>300102388</v>
      </c>
      <c r="D12" s="2">
        <v>750</v>
      </c>
      <c r="E12" s="2" t="s">
        <v>20</v>
      </c>
      <c r="F12" s="59">
        <v>46300</v>
      </c>
      <c r="G12" s="2" t="s">
        <v>287</v>
      </c>
      <c r="I12" s="2" t="s">
        <v>48</v>
      </c>
      <c r="J12" s="2" t="s">
        <v>40</v>
      </c>
      <c r="K12" s="2" t="s">
        <v>62</v>
      </c>
      <c r="L12" s="2" t="s">
        <v>57</v>
      </c>
      <c r="M12" t="s">
        <v>50</v>
      </c>
      <c r="N12" t="s">
        <v>50</v>
      </c>
    </row>
    <row r="13" spans="1:14">
      <c r="A13" s="2" t="s">
        <v>60</v>
      </c>
      <c r="B13" s="2" t="s">
        <v>286</v>
      </c>
      <c r="C13" s="2">
        <v>300102398</v>
      </c>
      <c r="D13" s="2">
        <v>750</v>
      </c>
      <c r="E13" s="2" t="s">
        <v>20</v>
      </c>
      <c r="F13" s="59">
        <v>46308</v>
      </c>
      <c r="G13" s="2" t="s">
        <v>309</v>
      </c>
      <c r="I13" s="2" t="s">
        <v>48</v>
      </c>
      <c r="J13" s="2" t="s">
        <v>38</v>
      </c>
      <c r="K13" s="2" t="s">
        <v>64</v>
      </c>
      <c r="L13" s="2" t="s">
        <v>57</v>
      </c>
      <c r="M13" t="s">
        <v>50</v>
      </c>
      <c r="N13" t="s">
        <v>50</v>
      </c>
    </row>
    <row r="14" spans="1:14">
      <c r="A14" s="2" t="s">
        <v>60</v>
      </c>
      <c r="B14" s="2" t="s">
        <v>225</v>
      </c>
      <c r="C14" s="2">
        <v>300102401</v>
      </c>
      <c r="D14" s="2">
        <v>750</v>
      </c>
      <c r="E14" s="2" t="s">
        <v>20</v>
      </c>
      <c r="F14" s="59">
        <v>46310</v>
      </c>
      <c r="G14" s="2" t="s">
        <v>322</v>
      </c>
      <c r="I14" s="2" t="s">
        <v>48</v>
      </c>
      <c r="J14" s="2" t="s">
        <v>38</v>
      </c>
      <c r="K14" s="2" t="s">
        <v>64</v>
      </c>
      <c r="L14" s="2" t="s">
        <v>57</v>
      </c>
      <c r="M14" t="s">
        <v>50</v>
      </c>
      <c r="N14" t="s">
        <v>50</v>
      </c>
    </row>
    <row r="15" spans="1:14">
      <c r="A15" s="2" t="s">
        <v>60</v>
      </c>
      <c r="B15" s="2" t="s">
        <v>274</v>
      </c>
      <c r="C15" s="2">
        <v>300102393</v>
      </c>
      <c r="D15" s="2">
        <v>700</v>
      </c>
      <c r="E15" s="2" t="s">
        <v>20</v>
      </c>
      <c r="F15" s="59">
        <v>46308</v>
      </c>
      <c r="G15" s="2" t="s">
        <v>302</v>
      </c>
      <c r="I15" s="2" t="s">
        <v>48</v>
      </c>
      <c r="J15" s="2" t="s">
        <v>38</v>
      </c>
      <c r="K15" s="2" t="s">
        <v>64</v>
      </c>
      <c r="L15" s="2" t="s">
        <v>57</v>
      </c>
      <c r="M15" t="s">
        <v>50</v>
      </c>
      <c r="N15" t="s">
        <v>50</v>
      </c>
    </row>
    <row r="16" spans="1:14">
      <c r="A16" s="2" t="s">
        <v>55</v>
      </c>
      <c r="B16" s="2" t="s">
        <v>166</v>
      </c>
      <c r="C16" s="2">
        <v>1002262558</v>
      </c>
      <c r="D16" s="2">
        <v>243.8</v>
      </c>
      <c r="E16" s="2" t="s">
        <v>20</v>
      </c>
      <c r="F16" s="59">
        <v>46136</v>
      </c>
      <c r="G16" s="2" t="s">
        <v>19</v>
      </c>
      <c r="I16" s="2" t="s">
        <v>48</v>
      </c>
      <c r="J16" s="2" t="s">
        <v>40</v>
      </c>
      <c r="K16" s="2" t="s">
        <v>62</v>
      </c>
      <c r="L16" s="2" t="s">
        <v>57</v>
      </c>
      <c r="M16" t="s">
        <v>50</v>
      </c>
      <c r="N16" t="s">
        <v>50</v>
      </c>
    </row>
    <row r="17" spans="1:14">
      <c r="A17" s="2" t="s">
        <v>157</v>
      </c>
      <c r="B17" s="2" t="s">
        <v>296</v>
      </c>
      <c r="C17" s="2">
        <v>1002304237</v>
      </c>
      <c r="D17" s="2">
        <v>44.22</v>
      </c>
      <c r="E17" s="2" t="s">
        <v>14</v>
      </c>
      <c r="F17" s="59">
        <v>46287</v>
      </c>
      <c r="G17" s="2" t="s">
        <v>291</v>
      </c>
      <c r="I17" s="2" t="s">
        <v>48</v>
      </c>
      <c r="J17" s="2" t="s">
        <v>40</v>
      </c>
      <c r="K17" s="2" t="s">
        <v>62</v>
      </c>
      <c r="L17" s="2" t="s">
        <v>57</v>
      </c>
      <c r="M17" t="s">
        <v>50</v>
      </c>
      <c r="N17" t="s">
        <v>50</v>
      </c>
    </row>
    <row r="18" spans="1:14">
      <c r="A18" s="2" t="s">
        <v>157</v>
      </c>
      <c r="B18" s="2" t="s">
        <v>297</v>
      </c>
      <c r="C18" s="2">
        <v>1002304236</v>
      </c>
      <c r="D18" s="2">
        <v>40.47</v>
      </c>
      <c r="E18" s="2" t="s">
        <v>14</v>
      </c>
      <c r="F18" s="59">
        <v>46286</v>
      </c>
      <c r="G18" s="2" t="s">
        <v>291</v>
      </c>
      <c r="I18" s="2" t="s">
        <v>48</v>
      </c>
      <c r="J18" s="2" t="s">
        <v>40</v>
      </c>
      <c r="K18" s="2" t="s">
        <v>62</v>
      </c>
      <c r="L18" s="2" t="s">
        <v>57</v>
      </c>
      <c r="M18" t="s">
        <v>50</v>
      </c>
      <c r="N18" t="s">
        <v>50</v>
      </c>
    </row>
    <row r="19" spans="1:14">
      <c r="A19" s="2" t="s">
        <v>157</v>
      </c>
      <c r="B19" s="2" t="s">
        <v>330</v>
      </c>
      <c r="C19" s="2">
        <v>1002306427</v>
      </c>
      <c r="D19" s="2">
        <v>39.08</v>
      </c>
      <c r="E19" s="2" t="s">
        <v>14</v>
      </c>
      <c r="F19" s="59">
        <v>46297</v>
      </c>
      <c r="G19" s="2" t="s">
        <v>291</v>
      </c>
      <c r="I19" s="2" t="s">
        <v>48</v>
      </c>
      <c r="J19" s="2" t="s">
        <v>40</v>
      </c>
      <c r="K19" s="2" t="s">
        <v>62</v>
      </c>
      <c r="L19" s="2" t="s">
        <v>57</v>
      </c>
      <c r="M19" t="s">
        <v>50</v>
      </c>
      <c r="N19" t="s">
        <v>50</v>
      </c>
    </row>
    <row r="20" spans="1:14">
      <c r="A20" s="2" t="s">
        <v>157</v>
      </c>
      <c r="B20" s="2" t="s">
        <v>331</v>
      </c>
      <c r="C20" s="2">
        <v>1002306426</v>
      </c>
      <c r="D20" s="2">
        <v>38.79</v>
      </c>
      <c r="E20" s="2" t="s">
        <v>14</v>
      </c>
      <c r="F20" s="59">
        <v>46296</v>
      </c>
      <c r="G20" s="2" t="s">
        <v>291</v>
      </c>
      <c r="I20" s="2" t="s">
        <v>48</v>
      </c>
      <c r="J20" s="2" t="s">
        <v>40</v>
      </c>
      <c r="K20" s="2" t="s">
        <v>62</v>
      </c>
      <c r="L20" s="2" t="s">
        <v>57</v>
      </c>
      <c r="M20" t="s">
        <v>50</v>
      </c>
      <c r="N20" t="s">
        <v>50</v>
      </c>
    </row>
    <row r="21" spans="1:14">
      <c r="A21" s="2" t="s">
        <v>157</v>
      </c>
      <c r="B21" s="2" t="s">
        <v>391</v>
      </c>
      <c r="C21" s="2">
        <v>1002309503</v>
      </c>
      <c r="D21" s="2">
        <v>35.049999999999997</v>
      </c>
      <c r="E21" s="2" t="s">
        <v>14</v>
      </c>
      <c r="F21" s="59">
        <v>46314</v>
      </c>
      <c r="G21" s="2" t="s">
        <v>291</v>
      </c>
      <c r="I21" s="2" t="s">
        <v>48</v>
      </c>
      <c r="J21" s="2" t="s">
        <v>40</v>
      </c>
      <c r="K21" s="2" t="s">
        <v>62</v>
      </c>
      <c r="L21" s="2" t="s">
        <v>57</v>
      </c>
      <c r="M21" t="s">
        <v>50</v>
      </c>
      <c r="N21" t="s">
        <v>50</v>
      </c>
    </row>
    <row r="22" spans="1:14">
      <c r="A22" s="2" t="s">
        <v>157</v>
      </c>
      <c r="B22" s="2" t="s">
        <v>389</v>
      </c>
      <c r="C22" s="2">
        <v>1002309502</v>
      </c>
      <c r="D22" s="2">
        <v>34.299999999999997</v>
      </c>
      <c r="E22" s="2" t="s">
        <v>14</v>
      </c>
      <c r="F22" s="59">
        <v>46311</v>
      </c>
      <c r="G22" s="2" t="s">
        <v>291</v>
      </c>
      <c r="I22" s="2" t="s">
        <v>48</v>
      </c>
      <c r="J22" s="2" t="s">
        <v>40</v>
      </c>
      <c r="K22" s="2" t="s">
        <v>62</v>
      </c>
      <c r="L22" s="2" t="s">
        <v>57</v>
      </c>
      <c r="M22" t="s">
        <v>50</v>
      </c>
      <c r="N22" t="s">
        <v>50</v>
      </c>
    </row>
    <row r="23" spans="1:14">
      <c r="A23" s="2" t="s">
        <v>157</v>
      </c>
      <c r="B23" s="2" t="s">
        <v>318</v>
      </c>
      <c r="C23" s="2">
        <v>1002305615</v>
      </c>
      <c r="D23" s="2">
        <v>32.32</v>
      </c>
      <c r="E23" s="2" t="s">
        <v>14</v>
      </c>
      <c r="F23" s="59">
        <v>46293</v>
      </c>
      <c r="G23" s="2" t="s">
        <v>291</v>
      </c>
      <c r="I23" s="2" t="s">
        <v>48</v>
      </c>
      <c r="J23" s="2" t="s">
        <v>40</v>
      </c>
      <c r="K23" s="2" t="s">
        <v>62</v>
      </c>
      <c r="L23" s="2" t="s">
        <v>57</v>
      </c>
      <c r="M23" t="s">
        <v>50</v>
      </c>
      <c r="N23" t="s">
        <v>50</v>
      </c>
    </row>
    <row r="24" spans="1:14">
      <c r="A24" s="2" t="s">
        <v>160</v>
      </c>
      <c r="B24" s="2" t="s">
        <v>311</v>
      </c>
      <c r="C24" s="2">
        <v>1002305105</v>
      </c>
      <c r="D24" s="2">
        <v>32</v>
      </c>
      <c r="E24" s="2" t="s">
        <v>14</v>
      </c>
      <c r="F24" s="59">
        <v>46290</v>
      </c>
      <c r="G24" s="2" t="s">
        <v>232</v>
      </c>
      <c r="I24" s="2" t="s">
        <v>48</v>
      </c>
      <c r="J24" s="2" t="s">
        <v>40</v>
      </c>
      <c r="K24" s="2" t="s">
        <v>62</v>
      </c>
      <c r="L24" s="2" t="s">
        <v>57</v>
      </c>
      <c r="M24" t="s">
        <v>50</v>
      </c>
      <c r="N24" t="s">
        <v>50</v>
      </c>
    </row>
    <row r="25" spans="1:14">
      <c r="A25" s="2" t="s">
        <v>160</v>
      </c>
      <c r="B25" s="2" t="s">
        <v>281</v>
      </c>
      <c r="C25" s="2">
        <v>1002302356</v>
      </c>
      <c r="D25" s="2">
        <v>31.23</v>
      </c>
      <c r="E25" s="2" t="s">
        <v>14</v>
      </c>
      <c r="F25" s="59">
        <v>46287</v>
      </c>
      <c r="G25" s="2" t="s">
        <v>232</v>
      </c>
      <c r="I25" s="2" t="s">
        <v>48</v>
      </c>
      <c r="J25" s="2" t="s">
        <v>40</v>
      </c>
      <c r="K25" s="2" t="s">
        <v>62</v>
      </c>
      <c r="L25" s="2" t="s">
        <v>57</v>
      </c>
      <c r="M25" t="s">
        <v>50</v>
      </c>
      <c r="N25" t="s">
        <v>50</v>
      </c>
    </row>
    <row r="26" spans="1:14">
      <c r="A26" s="2" t="s">
        <v>157</v>
      </c>
      <c r="B26" s="2" t="s">
        <v>290</v>
      </c>
      <c r="C26" s="2">
        <v>1002302748</v>
      </c>
      <c r="D26" s="2">
        <v>28.39</v>
      </c>
      <c r="E26" s="2" t="s">
        <v>14</v>
      </c>
      <c r="F26" s="59">
        <v>46290</v>
      </c>
      <c r="G26" s="2" t="s">
        <v>291</v>
      </c>
      <c r="I26" s="2" t="s">
        <v>48</v>
      </c>
      <c r="J26" s="2" t="s">
        <v>40</v>
      </c>
      <c r="K26" s="2" t="s">
        <v>62</v>
      </c>
      <c r="L26" s="2" t="s">
        <v>57</v>
      </c>
      <c r="M26" t="s">
        <v>50</v>
      </c>
      <c r="N26" t="s">
        <v>50</v>
      </c>
    </row>
    <row r="27" spans="1:14">
      <c r="A27" s="2" t="s">
        <v>160</v>
      </c>
      <c r="B27" s="2" t="s">
        <v>285</v>
      </c>
      <c r="C27" s="2">
        <v>1002302357</v>
      </c>
      <c r="D27" s="2">
        <v>27</v>
      </c>
      <c r="E27" s="2" t="s">
        <v>14</v>
      </c>
      <c r="F27" s="59">
        <v>46290</v>
      </c>
      <c r="G27" s="2" t="s">
        <v>232</v>
      </c>
      <c r="I27" s="2" t="s">
        <v>48</v>
      </c>
      <c r="J27" s="2" t="s">
        <v>40</v>
      </c>
      <c r="K27" s="2" t="s">
        <v>62</v>
      </c>
      <c r="L27" s="2" t="s">
        <v>57</v>
      </c>
      <c r="M27" t="s">
        <v>50</v>
      </c>
      <c r="N27" t="s">
        <v>50</v>
      </c>
    </row>
    <row r="28" spans="1:14">
      <c r="A28" s="2" t="s">
        <v>150</v>
      </c>
      <c r="B28" s="2" t="s">
        <v>390</v>
      </c>
      <c r="C28" s="2">
        <v>1002309501</v>
      </c>
      <c r="D28" s="2">
        <v>26.71</v>
      </c>
      <c r="E28" s="2" t="s">
        <v>14</v>
      </c>
      <c r="F28" s="59">
        <v>46310</v>
      </c>
      <c r="G28" s="2" t="s">
        <v>317</v>
      </c>
      <c r="I28" s="2" t="s">
        <v>48</v>
      </c>
      <c r="J28" s="2" t="s">
        <v>40</v>
      </c>
      <c r="K28" s="2" t="s">
        <v>62</v>
      </c>
      <c r="L28" s="2" t="s">
        <v>57</v>
      </c>
      <c r="M28" t="s">
        <v>50</v>
      </c>
      <c r="N28" t="s">
        <v>50</v>
      </c>
    </row>
    <row r="29" spans="1:14">
      <c r="A29" s="2" t="s">
        <v>150</v>
      </c>
      <c r="B29" s="2" t="s">
        <v>385</v>
      </c>
      <c r="C29" s="2">
        <v>1002309552</v>
      </c>
      <c r="D29" s="2">
        <v>26.3</v>
      </c>
      <c r="E29" s="2" t="s">
        <v>14</v>
      </c>
      <c r="F29" s="59">
        <v>46308</v>
      </c>
      <c r="G29" s="2" t="s">
        <v>317</v>
      </c>
      <c r="I29" s="2" t="s">
        <v>48</v>
      </c>
      <c r="J29" s="2" t="s">
        <v>40</v>
      </c>
      <c r="K29" s="2" t="s">
        <v>62</v>
      </c>
      <c r="L29" s="2" t="s">
        <v>57</v>
      </c>
      <c r="M29" t="s">
        <v>50</v>
      </c>
      <c r="N29" t="s">
        <v>50</v>
      </c>
    </row>
    <row r="30" spans="1:14">
      <c r="A30" s="2" t="s">
        <v>157</v>
      </c>
      <c r="B30" s="2" t="s">
        <v>329</v>
      </c>
      <c r="C30" s="2">
        <v>1002306428</v>
      </c>
      <c r="D30" s="2">
        <v>25.06</v>
      </c>
      <c r="E30" s="2" t="s">
        <v>14</v>
      </c>
      <c r="F30" s="59">
        <v>46297</v>
      </c>
      <c r="G30" s="2" t="s">
        <v>291</v>
      </c>
      <c r="I30" s="2" t="s">
        <v>48</v>
      </c>
      <c r="J30" s="2" t="s">
        <v>40</v>
      </c>
      <c r="K30" s="2" t="s">
        <v>62</v>
      </c>
      <c r="L30" s="2" t="s">
        <v>57</v>
      </c>
      <c r="M30" t="s">
        <v>50</v>
      </c>
      <c r="N30" t="s">
        <v>50</v>
      </c>
    </row>
    <row r="31" spans="1:14">
      <c r="A31" s="2" t="s">
        <v>157</v>
      </c>
      <c r="B31" s="2" t="s">
        <v>392</v>
      </c>
      <c r="C31" s="2">
        <v>1002309504</v>
      </c>
      <c r="D31" s="2">
        <v>22.8</v>
      </c>
      <c r="E31" s="2" t="s">
        <v>14</v>
      </c>
      <c r="F31" s="59">
        <v>46314</v>
      </c>
      <c r="G31" s="2" t="s">
        <v>291</v>
      </c>
      <c r="I31" s="2" t="s">
        <v>48</v>
      </c>
      <c r="J31" s="2" t="s">
        <v>40</v>
      </c>
      <c r="K31" s="2" t="s">
        <v>62</v>
      </c>
      <c r="L31" s="2" t="s">
        <v>57</v>
      </c>
      <c r="M31" t="s">
        <v>50</v>
      </c>
      <c r="N31" t="s">
        <v>50</v>
      </c>
    </row>
    <row r="32" spans="1:14">
      <c r="A32" s="2" t="s">
        <v>55</v>
      </c>
      <c r="B32" s="2" t="s">
        <v>341</v>
      </c>
      <c r="C32" s="2">
        <v>1002307492</v>
      </c>
      <c r="D32" s="2">
        <v>21.82</v>
      </c>
      <c r="E32" s="2" t="s">
        <v>14</v>
      </c>
      <c r="F32" s="59">
        <v>46300</v>
      </c>
      <c r="G32" s="2" t="s">
        <v>19</v>
      </c>
      <c r="I32" s="2" t="s">
        <v>48</v>
      </c>
      <c r="J32" s="2" t="s">
        <v>40</v>
      </c>
      <c r="K32" s="2" t="s">
        <v>62</v>
      </c>
      <c r="L32" s="2" t="s">
        <v>57</v>
      </c>
      <c r="M32" t="s">
        <v>50</v>
      </c>
      <c r="N32" t="s">
        <v>50</v>
      </c>
    </row>
    <row r="33" spans="1:14">
      <c r="A33" s="2" t="s">
        <v>150</v>
      </c>
      <c r="B33" s="2" t="s">
        <v>316</v>
      </c>
      <c r="C33" s="2">
        <v>1002305617</v>
      </c>
      <c r="D33" s="2">
        <v>19.3</v>
      </c>
      <c r="E33" s="2" t="s">
        <v>14</v>
      </c>
      <c r="F33" s="59">
        <v>46295</v>
      </c>
      <c r="G33" s="2" t="s">
        <v>317</v>
      </c>
      <c r="I33" s="2" t="s">
        <v>48</v>
      </c>
      <c r="J33" s="2" t="s">
        <v>40</v>
      </c>
      <c r="K33" s="2" t="s">
        <v>62</v>
      </c>
      <c r="L33" s="2" t="s">
        <v>57</v>
      </c>
      <c r="M33" t="s">
        <v>50</v>
      </c>
      <c r="N33" t="s">
        <v>50</v>
      </c>
    </row>
    <row r="34" spans="1:14">
      <c r="A34" s="2" t="s">
        <v>150</v>
      </c>
      <c r="B34" s="2" t="s">
        <v>323</v>
      </c>
      <c r="C34" s="2">
        <v>1002305614</v>
      </c>
      <c r="D34" s="2">
        <v>14.65</v>
      </c>
      <c r="E34" s="2" t="s">
        <v>14</v>
      </c>
      <c r="F34" s="59">
        <v>46293</v>
      </c>
      <c r="G34" s="2" t="s">
        <v>317</v>
      </c>
      <c r="I34" s="2" t="s">
        <v>48</v>
      </c>
      <c r="J34" s="2" t="s">
        <v>40</v>
      </c>
      <c r="K34" s="2" t="s">
        <v>62</v>
      </c>
      <c r="L34" s="2" t="s">
        <v>57</v>
      </c>
      <c r="M34" t="s">
        <v>50</v>
      </c>
      <c r="N34" t="s">
        <v>50</v>
      </c>
    </row>
    <row r="35" spans="1:14">
      <c r="A35" s="2" t="s">
        <v>150</v>
      </c>
      <c r="B35" s="2" t="s">
        <v>387</v>
      </c>
      <c r="C35" s="2">
        <v>1002309500</v>
      </c>
      <c r="D35" s="2">
        <v>14.1</v>
      </c>
      <c r="E35" s="2" t="s">
        <v>14</v>
      </c>
      <c r="F35" s="59">
        <v>46309</v>
      </c>
      <c r="G35" s="2" t="s">
        <v>317</v>
      </c>
      <c r="I35" s="2" t="s">
        <v>48</v>
      </c>
      <c r="J35" s="2" t="s">
        <v>40</v>
      </c>
      <c r="K35" s="2" t="s">
        <v>62</v>
      </c>
      <c r="L35" s="2" t="s">
        <v>57</v>
      </c>
      <c r="M35" t="s">
        <v>50</v>
      </c>
      <c r="N35" t="s">
        <v>50</v>
      </c>
    </row>
    <row r="36" spans="1:14">
      <c r="A36" s="2" t="s">
        <v>157</v>
      </c>
      <c r="B36" s="2" t="s">
        <v>298</v>
      </c>
      <c r="C36" s="2">
        <v>1002304240</v>
      </c>
      <c r="D36" s="2">
        <v>13.5</v>
      </c>
      <c r="E36" s="2" t="s">
        <v>14</v>
      </c>
      <c r="F36" s="59">
        <v>46289</v>
      </c>
      <c r="G36" s="2" t="s">
        <v>291</v>
      </c>
      <c r="I36" s="2" t="s">
        <v>48</v>
      </c>
      <c r="J36" s="2" t="s">
        <v>40</v>
      </c>
      <c r="K36" s="2" t="s">
        <v>62</v>
      </c>
      <c r="L36" s="2" t="s">
        <v>57</v>
      </c>
      <c r="M36" t="s">
        <v>50</v>
      </c>
      <c r="N36" t="s">
        <v>50</v>
      </c>
    </row>
    <row r="37" spans="1:14">
      <c r="A37" s="2" t="s">
        <v>150</v>
      </c>
      <c r="B37" s="2" t="s">
        <v>332</v>
      </c>
      <c r="C37" s="2">
        <v>1002306285</v>
      </c>
      <c r="D37" s="2">
        <v>12.85</v>
      </c>
      <c r="E37" s="2" t="s">
        <v>14</v>
      </c>
      <c r="F37" s="59">
        <v>46296</v>
      </c>
      <c r="G37" s="2" t="s">
        <v>317</v>
      </c>
      <c r="I37" s="2" t="s">
        <v>48</v>
      </c>
      <c r="J37" s="2" t="s">
        <v>40</v>
      </c>
      <c r="K37" s="2" t="s">
        <v>62</v>
      </c>
      <c r="L37" s="2" t="s">
        <v>57</v>
      </c>
      <c r="M37" t="s">
        <v>50</v>
      </c>
      <c r="N37" t="s">
        <v>50</v>
      </c>
    </row>
    <row r="38" spans="1:14">
      <c r="A38" s="2" t="s">
        <v>157</v>
      </c>
      <c r="B38" s="2" t="s">
        <v>384</v>
      </c>
      <c r="C38" s="2">
        <v>1002309549</v>
      </c>
      <c r="D38" s="2">
        <v>12.06</v>
      </c>
      <c r="E38" s="2" t="s">
        <v>14</v>
      </c>
      <c r="F38" s="59">
        <v>46304</v>
      </c>
      <c r="G38" s="2" t="s">
        <v>291</v>
      </c>
      <c r="I38" s="2" t="s">
        <v>48</v>
      </c>
      <c r="J38" s="2" t="s">
        <v>40</v>
      </c>
      <c r="K38" s="2" t="s">
        <v>62</v>
      </c>
      <c r="L38" s="2" t="s">
        <v>57</v>
      </c>
      <c r="M38" t="s">
        <v>50</v>
      </c>
      <c r="N38" t="s">
        <v>50</v>
      </c>
    </row>
    <row r="39" spans="1:14">
      <c r="A39" s="2" t="s">
        <v>150</v>
      </c>
      <c r="B39" s="2" t="s">
        <v>327</v>
      </c>
      <c r="C39" s="2">
        <v>1002306429</v>
      </c>
      <c r="D39" s="2">
        <v>10.66</v>
      </c>
      <c r="E39" s="2" t="s">
        <v>14</v>
      </c>
      <c r="F39" s="59">
        <v>46296</v>
      </c>
      <c r="G39" s="2" t="s">
        <v>317</v>
      </c>
      <c r="I39" s="2" t="s">
        <v>48</v>
      </c>
      <c r="J39" s="2" t="s">
        <v>40</v>
      </c>
      <c r="K39" s="2" t="s">
        <v>62</v>
      </c>
      <c r="L39" s="2" t="s">
        <v>57</v>
      </c>
      <c r="M39" t="s">
        <v>50</v>
      </c>
      <c r="N39" t="s">
        <v>50</v>
      </c>
    </row>
    <row r="40" spans="1:14">
      <c r="A40" s="2" t="s">
        <v>160</v>
      </c>
      <c r="B40" s="2" t="s">
        <v>288</v>
      </c>
      <c r="C40" s="2">
        <v>1002302358</v>
      </c>
      <c r="D40" s="2">
        <v>9</v>
      </c>
      <c r="E40" s="2" t="s">
        <v>14</v>
      </c>
      <c r="F40" s="59">
        <v>46290</v>
      </c>
      <c r="G40" s="2" t="s">
        <v>232</v>
      </c>
      <c r="I40" s="2" t="s">
        <v>48</v>
      </c>
      <c r="J40" s="2" t="s">
        <v>40</v>
      </c>
      <c r="K40" s="2" t="s">
        <v>62</v>
      </c>
      <c r="L40" s="2" t="s">
        <v>57</v>
      </c>
      <c r="M40" t="s">
        <v>50</v>
      </c>
      <c r="N40" t="s">
        <v>50</v>
      </c>
    </row>
    <row r="41" spans="1:14">
      <c r="A41" s="2" t="s">
        <v>157</v>
      </c>
      <c r="B41" s="2" t="s">
        <v>300</v>
      </c>
      <c r="C41" s="2">
        <v>1002304238</v>
      </c>
      <c r="D41" s="2">
        <v>2.91</v>
      </c>
      <c r="E41" s="2" t="s">
        <v>14</v>
      </c>
      <c r="F41" s="59">
        <v>46281</v>
      </c>
      <c r="G41" s="2" t="s">
        <v>291</v>
      </c>
      <c r="I41" s="2" t="s">
        <v>48</v>
      </c>
      <c r="J41" s="2" t="s">
        <v>40</v>
      </c>
      <c r="K41" s="2" t="s">
        <v>62</v>
      </c>
      <c r="L41" s="2" t="s">
        <v>57</v>
      </c>
      <c r="M41" t="s">
        <v>50</v>
      </c>
      <c r="N41" t="s">
        <v>50</v>
      </c>
    </row>
    <row r="42" spans="1:14">
      <c r="A42" s="2" t="s">
        <v>141</v>
      </c>
      <c r="B42" s="2" t="s">
        <v>278</v>
      </c>
      <c r="C42" s="2">
        <v>1002301229</v>
      </c>
      <c r="D42" s="2">
        <v>0.76</v>
      </c>
      <c r="E42" s="2" t="s">
        <v>14</v>
      </c>
      <c r="F42" s="59">
        <v>46287</v>
      </c>
      <c r="G42" s="2" t="s">
        <v>277</v>
      </c>
      <c r="I42" s="2" t="s">
        <v>48</v>
      </c>
      <c r="J42" s="2" t="s">
        <v>40</v>
      </c>
      <c r="K42" s="2" t="s">
        <v>62</v>
      </c>
      <c r="L42" s="2" t="s">
        <v>57</v>
      </c>
      <c r="M42" t="s">
        <v>50</v>
      </c>
      <c r="N42" t="s">
        <v>50</v>
      </c>
    </row>
    <row r="43" spans="1:14">
      <c r="A43" s="2" t="s">
        <v>141</v>
      </c>
      <c r="B43" s="2" t="s">
        <v>276</v>
      </c>
      <c r="C43" s="2">
        <v>1002301228</v>
      </c>
      <c r="D43" s="2">
        <v>0.16500000000000001</v>
      </c>
      <c r="E43" s="2" t="s">
        <v>14</v>
      </c>
      <c r="F43" s="59">
        <v>46287</v>
      </c>
      <c r="G43" s="2" t="s">
        <v>277</v>
      </c>
      <c r="I43" s="2" t="s">
        <v>48</v>
      </c>
      <c r="J43" s="2" t="s">
        <v>40</v>
      </c>
      <c r="K43" s="2" t="s">
        <v>62</v>
      </c>
      <c r="L43" s="2" t="s">
        <v>57</v>
      </c>
      <c r="M43" t="s">
        <v>50</v>
      </c>
      <c r="N43" t="s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AB78-AA0B-41F0-910B-8234A29CB4C1}">
  <dimension ref="A1:N25"/>
  <sheetViews>
    <sheetView workbookViewId="0">
      <selection activeCell="G19" sqref="G19"/>
    </sheetView>
  </sheetViews>
  <sheetFormatPr baseColWidth="10" defaultColWidth="6.5" defaultRowHeight="15"/>
  <cols>
    <col min="1" max="1" width="6.6640625" style="2" bestFit="1" customWidth="1"/>
    <col min="2" max="2" width="35.83203125" style="2" bestFit="1" customWidth="1"/>
    <col min="3" max="3" width="12.1640625" style="2" bestFit="1" customWidth="1"/>
    <col min="4" max="4" width="12.6640625" style="2" bestFit="1" customWidth="1"/>
    <col min="5" max="5" width="7.1640625" style="2" bestFit="1" customWidth="1"/>
    <col min="6" max="6" width="26.33203125" style="59" bestFit="1" customWidth="1"/>
    <col min="7" max="7" width="26.1640625" style="2" bestFit="1" customWidth="1"/>
    <col min="8" max="8" width="9" style="2" bestFit="1" customWidth="1"/>
    <col min="9" max="9" width="11.1640625" style="2" bestFit="1" customWidth="1"/>
    <col min="10" max="10" width="12.6640625" style="2" bestFit="1" customWidth="1"/>
    <col min="11" max="12" width="14.33203125" style="2" bestFit="1" customWidth="1"/>
    <col min="13" max="13" width="7.5" style="2" bestFit="1" customWidth="1"/>
    <col min="14" max="14" width="10.1640625" style="2" bestFit="1" customWidth="1"/>
    <col min="15" max="16384" width="6.5" style="2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</row>
    <row r="2" spans="1:14">
      <c r="A2" s="2" t="s">
        <v>52</v>
      </c>
      <c r="B2" s="2" t="s">
        <v>325</v>
      </c>
      <c r="C2" s="2">
        <v>300102523</v>
      </c>
      <c r="D2" s="2">
        <v>2300</v>
      </c>
      <c r="E2" s="2" t="s">
        <v>20</v>
      </c>
      <c r="F2" s="59">
        <v>46290</v>
      </c>
      <c r="G2" s="2" t="s">
        <v>326</v>
      </c>
      <c r="H2"/>
      <c r="I2" s="2" t="s">
        <v>48</v>
      </c>
      <c r="J2" s="2" t="s">
        <v>46</v>
      </c>
      <c r="K2" s="2" t="s">
        <v>66</v>
      </c>
      <c r="L2" s="2" t="s">
        <v>57</v>
      </c>
      <c r="M2" t="s">
        <v>50</v>
      </c>
      <c r="N2" t="s">
        <v>50</v>
      </c>
    </row>
    <row r="3" spans="1:14">
      <c r="A3" s="2" t="s">
        <v>60</v>
      </c>
      <c r="B3" s="2" t="s">
        <v>268</v>
      </c>
      <c r="C3" s="2">
        <v>300102119</v>
      </c>
      <c r="D3" s="2">
        <v>900</v>
      </c>
      <c r="E3" s="2" t="s">
        <v>20</v>
      </c>
      <c r="F3" s="59">
        <v>46241</v>
      </c>
      <c r="G3" s="2" t="s">
        <v>250</v>
      </c>
      <c r="H3"/>
      <c r="I3" s="2" t="s">
        <v>48</v>
      </c>
      <c r="J3" s="2" t="s">
        <v>44</v>
      </c>
      <c r="K3" s="2" t="s">
        <v>65</v>
      </c>
      <c r="L3" s="2" t="s">
        <v>57</v>
      </c>
      <c r="M3" t="s">
        <v>50</v>
      </c>
      <c r="N3" t="s">
        <v>50</v>
      </c>
    </row>
    <row r="4" spans="1:14">
      <c r="A4" s="2" t="s">
        <v>60</v>
      </c>
      <c r="B4" s="2" t="s">
        <v>294</v>
      </c>
      <c r="C4" s="2">
        <v>1002305700</v>
      </c>
      <c r="D4" s="2">
        <v>175</v>
      </c>
      <c r="E4" s="2" t="s">
        <v>14</v>
      </c>
      <c r="F4" s="59">
        <v>46303</v>
      </c>
      <c r="G4" s="2" t="s">
        <v>21</v>
      </c>
      <c r="H4"/>
      <c r="I4" s="2" t="s">
        <v>48</v>
      </c>
      <c r="J4" s="2" t="s">
        <v>44</v>
      </c>
      <c r="K4" s="2" t="s">
        <v>65</v>
      </c>
      <c r="L4" s="2" t="s">
        <v>57</v>
      </c>
      <c r="M4" t="s">
        <v>50</v>
      </c>
      <c r="N4" t="s">
        <v>50</v>
      </c>
    </row>
    <row r="5" spans="1:14">
      <c r="A5" s="2" t="s">
        <v>55</v>
      </c>
      <c r="B5" s="2" t="s">
        <v>282</v>
      </c>
      <c r="C5" s="2">
        <v>1002302295</v>
      </c>
      <c r="D5" s="2">
        <v>172.5</v>
      </c>
      <c r="E5" s="2" t="s">
        <v>14</v>
      </c>
      <c r="F5" s="59">
        <v>46281</v>
      </c>
      <c r="G5" s="2" t="s">
        <v>19</v>
      </c>
      <c r="H5"/>
      <c r="I5" s="2" t="s">
        <v>48</v>
      </c>
      <c r="J5" s="2" t="s">
        <v>44</v>
      </c>
      <c r="K5" s="2" t="s">
        <v>65</v>
      </c>
      <c r="L5" s="2" t="s">
        <v>57</v>
      </c>
      <c r="M5" t="s">
        <v>50</v>
      </c>
      <c r="N5" t="s">
        <v>50</v>
      </c>
    </row>
    <row r="6" spans="1:14">
      <c r="A6" s="2" t="s">
        <v>55</v>
      </c>
      <c r="B6" s="2" t="s">
        <v>256</v>
      </c>
      <c r="C6" s="2">
        <v>1002300975</v>
      </c>
      <c r="D6" s="2">
        <v>171.84299999999999</v>
      </c>
      <c r="E6" s="2" t="s">
        <v>14</v>
      </c>
      <c r="F6" s="59">
        <v>46280</v>
      </c>
      <c r="G6" s="2" t="s">
        <v>19</v>
      </c>
      <c r="H6"/>
      <c r="I6" s="2" t="s">
        <v>48</v>
      </c>
      <c r="J6" s="2" t="s">
        <v>44</v>
      </c>
      <c r="K6" s="2" t="s">
        <v>65</v>
      </c>
      <c r="L6" s="2" t="s">
        <v>57</v>
      </c>
      <c r="M6" t="s">
        <v>50</v>
      </c>
      <c r="N6" t="s">
        <v>50</v>
      </c>
    </row>
    <row r="7" spans="1:14">
      <c r="A7" s="2" t="s">
        <v>58</v>
      </c>
      <c r="B7" s="2" t="s">
        <v>271</v>
      </c>
      <c r="C7" s="2">
        <v>1002302362</v>
      </c>
      <c r="D7" s="2">
        <v>169</v>
      </c>
      <c r="E7" s="2" t="s">
        <v>14</v>
      </c>
      <c r="F7" s="59">
        <v>46289</v>
      </c>
      <c r="G7" s="2" t="s">
        <v>267</v>
      </c>
      <c r="H7"/>
      <c r="I7" s="2" t="s">
        <v>48</v>
      </c>
      <c r="J7" s="2" t="s">
        <v>44</v>
      </c>
      <c r="K7" s="2" t="s">
        <v>65</v>
      </c>
      <c r="L7" s="2" t="s">
        <v>57</v>
      </c>
      <c r="M7" t="s">
        <v>50</v>
      </c>
      <c r="N7" t="s">
        <v>50</v>
      </c>
    </row>
    <row r="8" spans="1:14">
      <c r="A8" s="2" t="s">
        <v>55</v>
      </c>
      <c r="B8" s="2" t="s">
        <v>351</v>
      </c>
      <c r="C8" s="2">
        <v>1002307496</v>
      </c>
      <c r="D8" s="2">
        <v>146</v>
      </c>
      <c r="E8" s="2" t="s">
        <v>14</v>
      </c>
      <c r="F8" s="59">
        <v>46304</v>
      </c>
      <c r="G8" s="2" t="s">
        <v>19</v>
      </c>
      <c r="H8"/>
      <c r="I8" s="2" t="s">
        <v>48</v>
      </c>
      <c r="J8" s="2" t="s">
        <v>44</v>
      </c>
      <c r="K8" s="2" t="s">
        <v>65</v>
      </c>
      <c r="L8" s="2" t="s">
        <v>57</v>
      </c>
      <c r="M8" t="s">
        <v>50</v>
      </c>
      <c r="N8" t="s">
        <v>50</v>
      </c>
    </row>
    <row r="9" spans="1:14">
      <c r="A9" s="2" t="s">
        <v>60</v>
      </c>
      <c r="B9" s="2" t="s">
        <v>264</v>
      </c>
      <c r="C9" s="2">
        <v>1002303255</v>
      </c>
      <c r="D9" s="2">
        <v>145</v>
      </c>
      <c r="E9" s="2" t="s">
        <v>14</v>
      </c>
      <c r="F9" s="59">
        <v>46290</v>
      </c>
      <c r="G9" s="2" t="s">
        <v>21</v>
      </c>
      <c r="H9"/>
      <c r="I9" s="2" t="s">
        <v>48</v>
      </c>
      <c r="J9" s="2" t="s">
        <v>44</v>
      </c>
      <c r="K9" s="2" t="s">
        <v>65</v>
      </c>
      <c r="L9" s="2" t="s">
        <v>57</v>
      </c>
      <c r="M9" t="s">
        <v>50</v>
      </c>
      <c r="N9" t="s">
        <v>50</v>
      </c>
    </row>
    <row r="10" spans="1:14">
      <c r="A10" s="2" t="s">
        <v>53</v>
      </c>
      <c r="B10" s="2" t="s">
        <v>255</v>
      </c>
      <c r="C10" s="2">
        <v>1002292927</v>
      </c>
      <c r="D10" s="2">
        <v>118.5</v>
      </c>
      <c r="E10" s="2" t="s">
        <v>14</v>
      </c>
      <c r="F10" s="59">
        <v>46280</v>
      </c>
      <c r="G10" s="2" t="s">
        <v>234</v>
      </c>
      <c r="H10"/>
      <c r="I10" s="2" t="s">
        <v>48</v>
      </c>
      <c r="J10" s="2" t="s">
        <v>44</v>
      </c>
      <c r="K10" s="2" t="s">
        <v>65</v>
      </c>
      <c r="L10" s="2" t="s">
        <v>57</v>
      </c>
      <c r="M10" t="s">
        <v>50</v>
      </c>
      <c r="N10" t="s">
        <v>50</v>
      </c>
    </row>
    <row r="11" spans="1:14">
      <c r="A11" s="2" t="s">
        <v>55</v>
      </c>
      <c r="B11" s="2" t="s">
        <v>282</v>
      </c>
      <c r="C11" s="2">
        <v>1002300976</v>
      </c>
      <c r="D11" s="2">
        <v>111.8</v>
      </c>
      <c r="E11" s="2" t="s">
        <v>14</v>
      </c>
      <c r="F11" s="59">
        <v>46279</v>
      </c>
      <c r="G11" s="2" t="s">
        <v>19</v>
      </c>
      <c r="H11"/>
      <c r="I11" s="2" t="s">
        <v>48</v>
      </c>
      <c r="J11" s="2" t="s">
        <v>44</v>
      </c>
      <c r="K11" s="2" t="s">
        <v>65</v>
      </c>
      <c r="L11" s="2" t="s">
        <v>57</v>
      </c>
      <c r="M11" t="s">
        <v>50</v>
      </c>
      <c r="N11" t="s">
        <v>50</v>
      </c>
    </row>
    <row r="12" spans="1:14">
      <c r="A12" s="2" t="s">
        <v>55</v>
      </c>
      <c r="B12" s="2" t="s">
        <v>272</v>
      </c>
      <c r="C12" s="2">
        <v>1002307491</v>
      </c>
      <c r="D12" s="2">
        <v>97.5</v>
      </c>
      <c r="E12" s="2" t="s">
        <v>14</v>
      </c>
      <c r="F12" s="59">
        <v>46300</v>
      </c>
      <c r="G12" s="2" t="s">
        <v>19</v>
      </c>
      <c r="H12"/>
      <c r="I12" s="2" t="s">
        <v>48</v>
      </c>
      <c r="J12" s="2" t="s">
        <v>44</v>
      </c>
      <c r="K12" s="2" t="s">
        <v>65</v>
      </c>
      <c r="L12" s="2" t="s">
        <v>57</v>
      </c>
      <c r="M12" t="s">
        <v>50</v>
      </c>
      <c r="N12" t="s">
        <v>50</v>
      </c>
    </row>
    <row r="13" spans="1:14">
      <c r="A13" s="2" t="s">
        <v>55</v>
      </c>
      <c r="B13" s="2" t="s">
        <v>351</v>
      </c>
      <c r="C13" s="2">
        <v>1002307493</v>
      </c>
      <c r="D13" s="2">
        <v>96.5</v>
      </c>
      <c r="E13" s="2" t="s">
        <v>14</v>
      </c>
      <c r="F13" s="59">
        <v>46301</v>
      </c>
      <c r="G13" s="2" t="s">
        <v>19</v>
      </c>
      <c r="H13"/>
      <c r="I13" s="2" t="s">
        <v>48</v>
      </c>
      <c r="J13" s="2" t="s">
        <v>44</v>
      </c>
      <c r="K13" s="2" t="s">
        <v>65</v>
      </c>
      <c r="L13" s="2" t="s">
        <v>57</v>
      </c>
      <c r="M13" t="s">
        <v>50</v>
      </c>
      <c r="N13" t="s">
        <v>50</v>
      </c>
    </row>
    <row r="14" spans="1:14">
      <c r="A14" s="2" t="s">
        <v>58</v>
      </c>
      <c r="B14" s="2" t="s">
        <v>271</v>
      </c>
      <c r="C14" s="2">
        <v>1002301022</v>
      </c>
      <c r="D14" s="2">
        <v>96</v>
      </c>
      <c r="E14" s="2" t="s">
        <v>14</v>
      </c>
      <c r="F14" s="59">
        <v>46273</v>
      </c>
      <c r="G14" s="2" t="s">
        <v>267</v>
      </c>
      <c r="H14"/>
      <c r="I14" s="2" t="s">
        <v>48</v>
      </c>
      <c r="J14" s="2" t="s">
        <v>44</v>
      </c>
      <c r="K14" s="2" t="s">
        <v>65</v>
      </c>
      <c r="L14" s="2" t="s">
        <v>57</v>
      </c>
      <c r="M14" t="s">
        <v>50</v>
      </c>
      <c r="N14" t="s">
        <v>50</v>
      </c>
    </row>
    <row r="15" spans="1:14">
      <c r="A15" s="2" t="s">
        <v>55</v>
      </c>
      <c r="B15" s="2" t="s">
        <v>351</v>
      </c>
      <c r="C15" s="2">
        <v>1002307494</v>
      </c>
      <c r="D15" s="2">
        <v>94.5</v>
      </c>
      <c r="E15" s="2" t="s">
        <v>14</v>
      </c>
      <c r="F15" s="59">
        <v>46303</v>
      </c>
      <c r="G15" s="2" t="s">
        <v>19</v>
      </c>
      <c r="H15"/>
      <c r="I15" s="2" t="s">
        <v>48</v>
      </c>
      <c r="J15" s="2" t="s">
        <v>44</v>
      </c>
      <c r="K15" s="2" t="s">
        <v>65</v>
      </c>
      <c r="L15" s="2" t="s">
        <v>57</v>
      </c>
      <c r="M15" t="s">
        <v>50</v>
      </c>
      <c r="N15" t="s">
        <v>50</v>
      </c>
    </row>
    <row r="16" spans="1:14">
      <c r="A16" s="2" t="s">
        <v>55</v>
      </c>
      <c r="B16" s="2" t="s">
        <v>351</v>
      </c>
      <c r="C16" s="2">
        <v>1002307495</v>
      </c>
      <c r="D16" s="2">
        <v>90</v>
      </c>
      <c r="E16" s="2" t="s">
        <v>14</v>
      </c>
      <c r="F16" s="59">
        <v>46304</v>
      </c>
      <c r="G16" s="2" t="s">
        <v>19</v>
      </c>
      <c r="H16"/>
      <c r="I16" s="2" t="s">
        <v>48</v>
      </c>
      <c r="J16" s="2" t="s">
        <v>44</v>
      </c>
      <c r="K16" s="2" t="s">
        <v>65</v>
      </c>
      <c r="L16" s="2" t="s">
        <v>57</v>
      </c>
      <c r="M16" t="s">
        <v>50</v>
      </c>
      <c r="N16" t="s">
        <v>50</v>
      </c>
    </row>
    <row r="17" spans="1:14">
      <c r="A17" s="2" t="s">
        <v>58</v>
      </c>
      <c r="B17" s="2" t="s">
        <v>271</v>
      </c>
      <c r="C17" s="2">
        <v>1002301023</v>
      </c>
      <c r="D17" s="2">
        <v>89</v>
      </c>
      <c r="E17" s="2" t="s">
        <v>14</v>
      </c>
      <c r="F17" s="59">
        <v>46274</v>
      </c>
      <c r="G17" s="2" t="s">
        <v>267</v>
      </c>
      <c r="H17"/>
      <c r="I17" s="2" t="s">
        <v>48</v>
      </c>
      <c r="J17" s="2" t="s">
        <v>44</v>
      </c>
      <c r="K17" s="2" t="s">
        <v>65</v>
      </c>
      <c r="L17" s="2" t="s">
        <v>57</v>
      </c>
      <c r="M17" t="s">
        <v>50</v>
      </c>
      <c r="N17" t="s">
        <v>50</v>
      </c>
    </row>
    <row r="18" spans="1:14">
      <c r="A18" s="2" t="s">
        <v>58</v>
      </c>
      <c r="B18" s="2" t="s">
        <v>271</v>
      </c>
      <c r="C18" s="2">
        <v>1002302359</v>
      </c>
      <c r="D18" s="2">
        <v>85</v>
      </c>
      <c r="E18" s="2" t="s">
        <v>14</v>
      </c>
      <c r="F18" s="59">
        <v>46289</v>
      </c>
      <c r="G18" s="2" t="s">
        <v>267</v>
      </c>
      <c r="H18"/>
      <c r="I18" s="2" t="s">
        <v>48</v>
      </c>
      <c r="J18" s="2" t="s">
        <v>44</v>
      </c>
      <c r="K18" s="2" t="s">
        <v>65</v>
      </c>
      <c r="L18" s="2" t="s">
        <v>57</v>
      </c>
      <c r="M18" t="s">
        <v>50</v>
      </c>
      <c r="N18" t="s">
        <v>50</v>
      </c>
    </row>
    <row r="19" spans="1:14">
      <c r="A19" s="2" t="s">
        <v>58</v>
      </c>
      <c r="B19" s="2" t="s">
        <v>271</v>
      </c>
      <c r="C19" s="2">
        <v>1002302361</v>
      </c>
      <c r="D19" s="2">
        <v>80.463999999999999</v>
      </c>
      <c r="E19" s="2" t="s">
        <v>14</v>
      </c>
      <c r="F19" s="59">
        <v>46289</v>
      </c>
      <c r="G19" s="2" t="s">
        <v>267</v>
      </c>
      <c r="H19"/>
      <c r="I19" s="2" t="s">
        <v>48</v>
      </c>
      <c r="J19" s="2" t="s">
        <v>44</v>
      </c>
      <c r="K19" s="2" t="s">
        <v>65</v>
      </c>
      <c r="L19" s="2" t="s">
        <v>57</v>
      </c>
      <c r="M19" t="s">
        <v>50</v>
      </c>
      <c r="N19" t="s">
        <v>50</v>
      </c>
    </row>
    <row r="20" spans="1:14">
      <c r="A20" s="2" t="s">
        <v>60</v>
      </c>
      <c r="B20" s="2" t="s">
        <v>225</v>
      </c>
      <c r="C20" s="2">
        <v>1002271976</v>
      </c>
      <c r="D20" s="2">
        <v>72</v>
      </c>
      <c r="E20" s="2" t="s">
        <v>14</v>
      </c>
      <c r="F20" s="59">
        <v>46178</v>
      </c>
      <c r="G20" s="2" t="s">
        <v>21</v>
      </c>
      <c r="H20"/>
      <c r="I20" s="2" t="s">
        <v>48</v>
      </c>
      <c r="J20" s="2" t="s">
        <v>44</v>
      </c>
      <c r="K20" s="2" t="s">
        <v>65</v>
      </c>
      <c r="L20" s="2" t="s">
        <v>57</v>
      </c>
      <c r="M20" t="s">
        <v>50</v>
      </c>
      <c r="N20" t="s">
        <v>50</v>
      </c>
    </row>
    <row r="21" spans="1:14">
      <c r="A21" s="2" t="s">
        <v>157</v>
      </c>
      <c r="B21" s="2" t="s">
        <v>299</v>
      </c>
      <c r="C21" s="2">
        <v>1002304239</v>
      </c>
      <c r="D21" s="2">
        <v>64.489999999999995</v>
      </c>
      <c r="E21" s="2" t="s">
        <v>14</v>
      </c>
      <c r="F21" s="59">
        <v>46289</v>
      </c>
      <c r="G21" s="2" t="s">
        <v>291</v>
      </c>
      <c r="H21"/>
      <c r="I21" s="2" t="s">
        <v>48</v>
      </c>
      <c r="J21" s="2" t="s">
        <v>44</v>
      </c>
      <c r="K21" s="2" t="s">
        <v>65</v>
      </c>
      <c r="L21" s="2" t="s">
        <v>57</v>
      </c>
      <c r="M21" t="s">
        <v>50</v>
      </c>
      <c r="N21" t="s">
        <v>50</v>
      </c>
    </row>
    <row r="22" spans="1:14">
      <c r="A22" s="2" t="s">
        <v>60</v>
      </c>
      <c r="B22" s="2" t="s">
        <v>224</v>
      </c>
      <c r="C22" s="2">
        <v>1002271911</v>
      </c>
      <c r="D22" s="2">
        <v>64</v>
      </c>
      <c r="E22" s="2" t="s">
        <v>14</v>
      </c>
      <c r="F22" s="59">
        <v>46183</v>
      </c>
      <c r="G22" s="2" t="s">
        <v>21</v>
      </c>
      <c r="H22"/>
      <c r="I22" s="2" t="s">
        <v>48</v>
      </c>
      <c r="J22" s="2" t="s">
        <v>44</v>
      </c>
      <c r="K22" s="2" t="s">
        <v>65</v>
      </c>
      <c r="L22" s="2" t="s">
        <v>57</v>
      </c>
      <c r="M22" t="s">
        <v>50</v>
      </c>
      <c r="N22" t="s">
        <v>50</v>
      </c>
    </row>
    <row r="23" spans="1:14">
      <c r="A23" s="2" t="s">
        <v>55</v>
      </c>
      <c r="B23" s="2" t="s">
        <v>256</v>
      </c>
      <c r="C23" s="2">
        <v>1002300973</v>
      </c>
      <c r="D23" s="2">
        <v>63</v>
      </c>
      <c r="E23" s="2" t="s">
        <v>14</v>
      </c>
      <c r="F23" s="59">
        <v>46279</v>
      </c>
      <c r="G23" s="2" t="s">
        <v>19</v>
      </c>
      <c r="H23"/>
      <c r="I23" s="2" t="s">
        <v>48</v>
      </c>
      <c r="J23" s="2" t="s">
        <v>44</v>
      </c>
      <c r="K23" s="2" t="s">
        <v>65</v>
      </c>
      <c r="L23" s="2" t="s">
        <v>57</v>
      </c>
      <c r="M23" t="s">
        <v>50</v>
      </c>
      <c r="N23" t="s">
        <v>50</v>
      </c>
    </row>
    <row r="24" spans="1:14">
      <c r="A24" s="2" t="s">
        <v>55</v>
      </c>
      <c r="B24" s="2" t="s">
        <v>272</v>
      </c>
      <c r="C24" s="2">
        <v>1002299673</v>
      </c>
      <c r="D24" s="2">
        <v>58.5</v>
      </c>
      <c r="E24" s="2" t="s">
        <v>14</v>
      </c>
      <c r="F24" s="59">
        <v>46279</v>
      </c>
      <c r="G24" s="2" t="s">
        <v>19</v>
      </c>
      <c r="H24"/>
      <c r="I24" s="2" t="s">
        <v>48</v>
      </c>
      <c r="J24" s="2" t="s">
        <v>44</v>
      </c>
      <c r="K24" s="2" t="s">
        <v>65</v>
      </c>
      <c r="L24" s="2" t="s">
        <v>57</v>
      </c>
      <c r="M24" t="s">
        <v>50</v>
      </c>
      <c r="N24" t="s">
        <v>50</v>
      </c>
    </row>
    <row r="25" spans="1:14">
      <c r="A25" s="2" t="s">
        <v>157</v>
      </c>
      <c r="B25" s="2" t="s">
        <v>298</v>
      </c>
      <c r="C25" s="2">
        <v>1002305616</v>
      </c>
      <c r="D25" s="2">
        <v>55.84</v>
      </c>
      <c r="E25" s="2" t="s">
        <v>14</v>
      </c>
      <c r="F25" s="59">
        <v>46294</v>
      </c>
      <c r="G25" s="2" t="s">
        <v>291</v>
      </c>
      <c r="H25"/>
      <c r="I25" s="2" t="s">
        <v>48</v>
      </c>
      <c r="J25" s="2" t="s">
        <v>44</v>
      </c>
      <c r="K25" s="2" t="s">
        <v>65</v>
      </c>
      <c r="L25" s="2" t="s">
        <v>57</v>
      </c>
      <c r="M25" t="s">
        <v>50</v>
      </c>
      <c r="N25" t="s">
        <v>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C77C-8EA4-4907-A360-B9036D8E7405}">
  <dimension ref="A1:N2"/>
  <sheetViews>
    <sheetView workbookViewId="0">
      <selection activeCell="D22" sqref="D22"/>
    </sheetView>
  </sheetViews>
  <sheetFormatPr baseColWidth="10" defaultColWidth="9" defaultRowHeight="15"/>
  <cols>
    <col min="1" max="1" width="6.6640625" style="2" bestFit="1" customWidth="1"/>
    <col min="2" max="2" width="20.5" style="2" bestFit="1" customWidth="1"/>
    <col min="3" max="3" width="12.1640625" style="2" bestFit="1" customWidth="1"/>
    <col min="4" max="4" width="12.6640625" style="2" bestFit="1" customWidth="1"/>
    <col min="5" max="5" width="7.1640625" style="2" bestFit="1" customWidth="1"/>
    <col min="6" max="6" width="26.33203125" style="59" bestFit="1" customWidth="1"/>
    <col min="7" max="7" width="8.1640625" style="2" bestFit="1" customWidth="1"/>
    <col min="8" max="8" width="9" style="2" bestFit="1" customWidth="1"/>
    <col min="9" max="9" width="11.1640625" style="2" bestFit="1" customWidth="1"/>
    <col min="10" max="10" width="12.6640625" style="2" bestFit="1" customWidth="1"/>
    <col min="11" max="11" width="10.6640625" style="2" bestFit="1" customWidth="1"/>
    <col min="12" max="12" width="12.83203125" style="2" bestFit="1" customWidth="1"/>
    <col min="13" max="13" width="7.5" style="2" bestFit="1" customWidth="1"/>
    <col min="14" max="14" width="10.1640625" style="2" bestFit="1" customWidth="1"/>
    <col min="15" max="16384" width="9" style="2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</row>
    <row r="2" spans="1:14">
      <c r="H2"/>
      <c r="M2"/>
      <c r="N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5CC5-80AB-4F94-8892-081C559782A6}">
  <dimension ref="A1:L16"/>
  <sheetViews>
    <sheetView workbookViewId="0">
      <selection activeCell="E16" sqref="E16"/>
    </sheetView>
  </sheetViews>
  <sheetFormatPr baseColWidth="10" defaultColWidth="6.83203125" defaultRowHeight="15"/>
  <cols>
    <col min="1" max="1" width="6.6640625" style="2" bestFit="1" customWidth="1"/>
    <col min="2" max="2" width="35.33203125" style="2" bestFit="1" customWidth="1"/>
    <col min="3" max="3" width="12.1640625" style="2" bestFit="1" customWidth="1"/>
    <col min="4" max="4" width="12.6640625" style="2" bestFit="1" customWidth="1"/>
    <col min="5" max="5" width="7.1640625" style="2" bestFit="1" customWidth="1"/>
    <col min="6" max="6" width="26.33203125" style="59" bestFit="1" customWidth="1"/>
    <col min="7" max="7" width="24.6640625" style="2" bestFit="1" customWidth="1"/>
    <col min="8" max="8" width="9" style="2" bestFit="1" customWidth="1"/>
    <col min="9" max="9" width="11.1640625" style="2" bestFit="1" customWidth="1"/>
    <col min="10" max="10" width="12.6640625" style="2" bestFit="1" customWidth="1"/>
    <col min="11" max="11" width="10.6640625" style="2" bestFit="1" customWidth="1"/>
    <col min="12" max="12" width="14.33203125" style="2" bestFit="1" customWidth="1"/>
    <col min="13" max="16384" width="6.83203125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247</v>
      </c>
      <c r="B2" s="2" t="s">
        <v>289</v>
      </c>
      <c r="C2" s="2">
        <v>1002266913</v>
      </c>
      <c r="D2" s="2">
        <v>164940</v>
      </c>
      <c r="E2" s="2" t="s">
        <v>14</v>
      </c>
      <c r="F2" s="59">
        <v>46286</v>
      </c>
      <c r="G2" s="2" t="s">
        <v>246</v>
      </c>
      <c r="H2">
        <v>5</v>
      </c>
      <c r="I2" s="2" t="s">
        <v>48</v>
      </c>
      <c r="J2" s="2" t="s">
        <v>41</v>
      </c>
      <c r="K2" s="2" t="s">
        <v>68</v>
      </c>
      <c r="L2" s="2" t="s">
        <v>69</v>
      </c>
    </row>
    <row r="3" spans="1:12">
      <c r="A3" s="2" t="s">
        <v>247</v>
      </c>
      <c r="B3" s="2" t="s">
        <v>289</v>
      </c>
      <c r="C3" s="2">
        <v>1002267630</v>
      </c>
      <c r="D3" s="2">
        <v>56170</v>
      </c>
      <c r="E3" s="2" t="s">
        <v>14</v>
      </c>
      <c r="F3" s="59">
        <v>46286</v>
      </c>
      <c r="G3" s="2" t="s">
        <v>246</v>
      </c>
      <c r="H3">
        <v>2</v>
      </c>
      <c r="I3" s="2" t="s">
        <v>48</v>
      </c>
      <c r="J3" s="2" t="s">
        <v>41</v>
      </c>
      <c r="K3" s="2" t="s">
        <v>68</v>
      </c>
      <c r="L3" s="2" t="s">
        <v>69</v>
      </c>
    </row>
    <row r="4" spans="1:12">
      <c r="A4" s="2" t="s">
        <v>67</v>
      </c>
      <c r="B4" s="2" t="s">
        <v>16</v>
      </c>
      <c r="C4" s="2">
        <v>1002174855</v>
      </c>
      <c r="D4" s="2">
        <v>48400</v>
      </c>
      <c r="E4" s="2" t="s">
        <v>14</v>
      </c>
      <c r="F4" s="59">
        <v>46021</v>
      </c>
      <c r="G4" s="2" t="s">
        <v>15</v>
      </c>
      <c r="H4">
        <v>1</v>
      </c>
      <c r="I4" s="2" t="s">
        <v>48</v>
      </c>
      <c r="J4" s="2" t="s">
        <v>41</v>
      </c>
      <c r="K4" s="2" t="s">
        <v>68</v>
      </c>
      <c r="L4" s="2" t="s">
        <v>69</v>
      </c>
    </row>
    <row r="5" spans="1:12">
      <c r="A5" s="2" t="s">
        <v>67</v>
      </c>
      <c r="B5" s="2" t="s">
        <v>17</v>
      </c>
      <c r="C5" s="2">
        <v>1002181889</v>
      </c>
      <c r="D5" s="2">
        <v>42000</v>
      </c>
      <c r="E5" s="2" t="s">
        <v>14</v>
      </c>
      <c r="F5" s="59">
        <v>46020</v>
      </c>
      <c r="G5" s="2" t="s">
        <v>18</v>
      </c>
      <c r="H5">
        <v>7</v>
      </c>
      <c r="I5" s="2" t="s">
        <v>48</v>
      </c>
      <c r="J5" s="2" t="s">
        <v>41</v>
      </c>
      <c r="K5" s="2" t="s">
        <v>68</v>
      </c>
      <c r="L5" s="2" t="s">
        <v>69</v>
      </c>
    </row>
    <row r="6" spans="1:12">
      <c r="A6" s="2" t="s">
        <v>247</v>
      </c>
      <c r="B6" s="2" t="s">
        <v>245</v>
      </c>
      <c r="C6" s="2">
        <v>1002266889</v>
      </c>
      <c r="D6" s="2">
        <v>36310</v>
      </c>
      <c r="E6" s="2" t="s">
        <v>14</v>
      </c>
      <c r="F6" s="59">
        <v>46265</v>
      </c>
      <c r="G6" s="2" t="s">
        <v>246</v>
      </c>
      <c r="H6">
        <v>7</v>
      </c>
      <c r="I6" s="2" t="s">
        <v>48</v>
      </c>
      <c r="J6" s="2" t="s">
        <v>41</v>
      </c>
      <c r="K6" s="2" t="s">
        <v>68</v>
      </c>
      <c r="L6" s="2" t="s">
        <v>69</v>
      </c>
    </row>
    <row r="7" spans="1:12">
      <c r="A7" s="2" t="s">
        <v>247</v>
      </c>
      <c r="B7" s="2" t="s">
        <v>245</v>
      </c>
      <c r="C7" s="2">
        <v>1002266886</v>
      </c>
      <c r="D7" s="2">
        <v>35230</v>
      </c>
      <c r="E7" s="2" t="s">
        <v>14</v>
      </c>
      <c r="F7" s="59">
        <v>46265</v>
      </c>
      <c r="G7" s="2" t="s">
        <v>246</v>
      </c>
      <c r="H7">
        <v>7</v>
      </c>
      <c r="I7" s="2" t="s">
        <v>48</v>
      </c>
      <c r="J7" s="2" t="s">
        <v>41</v>
      </c>
      <c r="K7" s="2" t="s">
        <v>68</v>
      </c>
      <c r="L7" s="2" t="s">
        <v>69</v>
      </c>
    </row>
    <row r="8" spans="1:12">
      <c r="A8" s="2" t="s">
        <v>67</v>
      </c>
      <c r="B8" s="2" t="s">
        <v>343</v>
      </c>
      <c r="C8" s="2">
        <v>1002295415</v>
      </c>
      <c r="D8" s="2">
        <v>24610</v>
      </c>
      <c r="E8" s="2" t="s">
        <v>14</v>
      </c>
      <c r="F8" s="59">
        <v>46341</v>
      </c>
      <c r="G8" s="2" t="s">
        <v>315</v>
      </c>
      <c r="H8">
        <v>3</v>
      </c>
      <c r="I8" s="2" t="s">
        <v>48</v>
      </c>
      <c r="J8" s="2" t="s">
        <v>41</v>
      </c>
      <c r="K8" s="2" t="s">
        <v>68</v>
      </c>
      <c r="L8" s="2" t="s">
        <v>69</v>
      </c>
    </row>
    <row r="9" spans="1:12">
      <c r="A9" s="2" t="s">
        <v>67</v>
      </c>
      <c r="B9" s="2" t="s">
        <v>357</v>
      </c>
      <c r="C9" s="2">
        <v>1002307552</v>
      </c>
      <c r="D9" s="2">
        <v>24500</v>
      </c>
      <c r="E9" s="2" t="s">
        <v>14</v>
      </c>
      <c r="F9" s="59">
        <v>46325</v>
      </c>
      <c r="G9" s="2" t="s">
        <v>315</v>
      </c>
      <c r="H9">
        <v>5</v>
      </c>
      <c r="I9" s="2" t="s">
        <v>48</v>
      </c>
      <c r="J9" s="2" t="s">
        <v>41</v>
      </c>
      <c r="K9" s="2" t="s">
        <v>68</v>
      </c>
      <c r="L9" s="2" t="s">
        <v>69</v>
      </c>
    </row>
    <row r="10" spans="1:12">
      <c r="A10" s="2" t="s">
        <v>247</v>
      </c>
      <c r="B10" s="2" t="s">
        <v>245</v>
      </c>
      <c r="C10" s="2">
        <v>1002266351</v>
      </c>
      <c r="D10" s="2">
        <v>23170</v>
      </c>
      <c r="E10" s="2" t="s">
        <v>14</v>
      </c>
      <c r="F10" s="59">
        <v>46265</v>
      </c>
      <c r="G10" s="2" t="s">
        <v>246</v>
      </c>
      <c r="H10">
        <v>7</v>
      </c>
      <c r="I10" s="2" t="s">
        <v>48</v>
      </c>
      <c r="J10" s="2" t="s">
        <v>41</v>
      </c>
      <c r="K10" s="2" t="s">
        <v>68</v>
      </c>
      <c r="L10" s="2" t="s">
        <v>69</v>
      </c>
    </row>
    <row r="11" spans="1:12">
      <c r="A11" s="2" t="s">
        <v>67</v>
      </c>
      <c r="B11" s="2" t="s">
        <v>22</v>
      </c>
      <c r="C11" s="2">
        <v>1002150398</v>
      </c>
      <c r="D11" s="2">
        <v>16400</v>
      </c>
      <c r="E11" s="2" t="s">
        <v>14</v>
      </c>
      <c r="F11" s="59">
        <v>46021</v>
      </c>
      <c r="G11" s="2" t="s">
        <v>23</v>
      </c>
      <c r="H11">
        <v>1</v>
      </c>
      <c r="I11" s="2" t="s">
        <v>48</v>
      </c>
      <c r="J11" s="2" t="s">
        <v>41</v>
      </c>
      <c r="K11" s="2" t="s">
        <v>68</v>
      </c>
      <c r="L11" s="2" t="s">
        <v>69</v>
      </c>
    </row>
    <row r="12" spans="1:12">
      <c r="A12" s="2" t="s">
        <v>247</v>
      </c>
      <c r="B12" s="2" t="s">
        <v>245</v>
      </c>
      <c r="C12" s="2">
        <v>1002266356</v>
      </c>
      <c r="D12" s="2">
        <v>14930</v>
      </c>
      <c r="E12" s="2" t="s">
        <v>14</v>
      </c>
      <c r="F12" s="59">
        <v>46274</v>
      </c>
      <c r="G12" s="2" t="s">
        <v>246</v>
      </c>
      <c r="H12">
        <v>7</v>
      </c>
      <c r="I12" s="2" t="s">
        <v>48</v>
      </c>
      <c r="J12" s="2" t="s">
        <v>41</v>
      </c>
      <c r="K12" s="2" t="s">
        <v>68</v>
      </c>
      <c r="L12" s="2" t="s">
        <v>69</v>
      </c>
    </row>
    <row r="13" spans="1:12">
      <c r="A13" s="2" t="s">
        <v>67</v>
      </c>
      <c r="B13" s="2" t="s">
        <v>314</v>
      </c>
      <c r="C13" s="2">
        <v>1002295402</v>
      </c>
      <c r="D13" s="2">
        <v>14185.5</v>
      </c>
      <c r="E13" s="2" t="s">
        <v>14</v>
      </c>
      <c r="F13" s="59">
        <v>46386</v>
      </c>
      <c r="G13" s="2" t="s">
        <v>315</v>
      </c>
      <c r="H13">
        <v>9</v>
      </c>
      <c r="I13" s="2" t="s">
        <v>48</v>
      </c>
      <c r="J13" s="2" t="s">
        <v>41</v>
      </c>
      <c r="K13" s="2" t="s">
        <v>68</v>
      </c>
      <c r="L13" s="2" t="s">
        <v>69</v>
      </c>
    </row>
    <row r="14" spans="1:12">
      <c r="A14" s="2" t="s">
        <v>247</v>
      </c>
      <c r="B14" s="2" t="s">
        <v>245</v>
      </c>
      <c r="C14" s="2">
        <v>1002266350</v>
      </c>
      <c r="D14" s="2">
        <v>3390</v>
      </c>
      <c r="E14" s="2" t="s">
        <v>14</v>
      </c>
      <c r="F14" s="59">
        <v>46274</v>
      </c>
      <c r="G14" s="2" t="s">
        <v>246</v>
      </c>
      <c r="H14">
        <v>7</v>
      </c>
      <c r="I14" s="2" t="s">
        <v>48</v>
      </c>
      <c r="J14" s="2" t="s">
        <v>41</v>
      </c>
      <c r="K14" s="2" t="s">
        <v>68</v>
      </c>
      <c r="L14" s="2" t="s">
        <v>69</v>
      </c>
    </row>
    <row r="15" spans="1:12">
      <c r="A15" s="2" t="s">
        <v>73</v>
      </c>
      <c r="B15" s="2" t="s">
        <v>379</v>
      </c>
      <c r="C15" s="2">
        <v>1002302916</v>
      </c>
      <c r="D15" s="2">
        <v>697.5</v>
      </c>
      <c r="E15" s="2" t="s">
        <v>14</v>
      </c>
      <c r="F15" s="59">
        <v>46341</v>
      </c>
      <c r="G15" s="2" t="s">
        <v>380</v>
      </c>
      <c r="H15">
        <v>5</v>
      </c>
      <c r="I15" s="2" t="s">
        <v>48</v>
      </c>
      <c r="J15" s="2" t="s">
        <v>41</v>
      </c>
      <c r="K15" s="2" t="s">
        <v>68</v>
      </c>
      <c r="L15" s="2" t="s">
        <v>69</v>
      </c>
    </row>
    <row r="16" spans="1:12">
      <c r="A16" s="2" t="s">
        <v>73</v>
      </c>
      <c r="B16" s="2" t="s">
        <v>379</v>
      </c>
      <c r="C16" s="2">
        <v>1002302915</v>
      </c>
      <c r="D16" s="2">
        <v>360.5</v>
      </c>
      <c r="E16" s="2" t="s">
        <v>14</v>
      </c>
      <c r="F16" s="59">
        <v>46341</v>
      </c>
      <c r="G16" s="2" t="s">
        <v>380</v>
      </c>
      <c r="H16">
        <v>5</v>
      </c>
      <c r="I16" s="2" t="s">
        <v>48</v>
      </c>
      <c r="J16" s="2" t="s">
        <v>41</v>
      </c>
      <c r="K16" s="2" t="s">
        <v>68</v>
      </c>
      <c r="L16" s="2" t="s">
        <v>69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D7EA-3DA3-46D2-9924-4CD571479D17}">
  <dimension ref="A1:L41"/>
  <sheetViews>
    <sheetView workbookViewId="0">
      <selection activeCell="F30" sqref="F30"/>
    </sheetView>
  </sheetViews>
  <sheetFormatPr baseColWidth="10" defaultColWidth="9" defaultRowHeight="15"/>
  <cols>
    <col min="1" max="1" width="6.6640625" style="2" bestFit="1" customWidth="1"/>
    <col min="2" max="2" width="41" style="2" bestFit="1" customWidth="1"/>
    <col min="3" max="3" width="12.1640625" style="2" bestFit="1" customWidth="1"/>
    <col min="4" max="4" width="12.6640625" style="2" bestFit="1" customWidth="1"/>
    <col min="5" max="5" width="7.1640625" style="2" bestFit="1" customWidth="1"/>
    <col min="6" max="6" width="26.33203125" style="59" bestFit="1" customWidth="1"/>
    <col min="7" max="7" width="26.83203125" style="2" bestFit="1" customWidth="1"/>
    <col min="8" max="8" width="9" style="2" bestFit="1" customWidth="1"/>
    <col min="9" max="9" width="11.1640625" style="2" bestFit="1" customWidth="1"/>
    <col min="10" max="10" width="12.6640625" style="2" bestFit="1" customWidth="1"/>
    <col min="11" max="11" width="10.6640625" style="2" bestFit="1" customWidth="1"/>
    <col min="12" max="12" width="14.33203125" style="2" bestFit="1" customWidth="1"/>
    <col min="13" max="13" width="7.5" style="2" bestFit="1" customWidth="1"/>
    <col min="14" max="16384" width="9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312</v>
      </c>
      <c r="B2" s="2" t="s">
        <v>313</v>
      </c>
      <c r="C2" s="2">
        <v>1002300820</v>
      </c>
      <c r="D2" s="2">
        <v>125880</v>
      </c>
      <c r="E2" s="2" t="s">
        <v>14</v>
      </c>
      <c r="F2" s="59">
        <v>46384</v>
      </c>
      <c r="G2" s="2" t="s">
        <v>304</v>
      </c>
      <c r="H2">
        <v>6</v>
      </c>
      <c r="I2" s="2" t="s">
        <v>48</v>
      </c>
      <c r="J2" s="2" t="s">
        <v>42</v>
      </c>
      <c r="K2" s="2" t="s">
        <v>71</v>
      </c>
      <c r="L2" s="2" t="s">
        <v>69</v>
      </c>
    </row>
    <row r="3" spans="1:12">
      <c r="A3" s="2" t="s">
        <v>312</v>
      </c>
      <c r="B3" s="2" t="s">
        <v>303</v>
      </c>
      <c r="C3" s="2">
        <v>1002303189</v>
      </c>
      <c r="D3" s="2">
        <v>99230</v>
      </c>
      <c r="E3" s="2" t="s">
        <v>14</v>
      </c>
      <c r="F3" s="59">
        <v>46384</v>
      </c>
      <c r="G3" s="2" t="s">
        <v>304</v>
      </c>
      <c r="H3">
        <v>5</v>
      </c>
      <c r="I3" s="2" t="s">
        <v>48</v>
      </c>
      <c r="J3" s="2" t="s">
        <v>42</v>
      </c>
      <c r="K3" s="2" t="s">
        <v>71</v>
      </c>
      <c r="L3" s="2" t="s">
        <v>69</v>
      </c>
    </row>
    <row r="4" spans="1:12">
      <c r="A4" s="2" t="s">
        <v>312</v>
      </c>
      <c r="B4" s="2" t="s">
        <v>303</v>
      </c>
      <c r="C4" s="2">
        <v>1002300812</v>
      </c>
      <c r="D4" s="2">
        <v>89410</v>
      </c>
      <c r="E4" s="2" t="s">
        <v>14</v>
      </c>
      <c r="F4" s="59">
        <v>46384</v>
      </c>
      <c r="G4" s="2" t="s">
        <v>304</v>
      </c>
      <c r="H4">
        <v>5</v>
      </c>
      <c r="I4" s="2" t="s">
        <v>48</v>
      </c>
      <c r="J4" s="2" t="s">
        <v>42</v>
      </c>
      <c r="K4" s="2" t="s">
        <v>71</v>
      </c>
      <c r="L4" s="2" t="s">
        <v>69</v>
      </c>
    </row>
    <row r="5" spans="1:12">
      <c r="A5" s="2" t="s">
        <v>312</v>
      </c>
      <c r="B5" s="2" t="s">
        <v>303</v>
      </c>
      <c r="C5" s="2">
        <v>1002300810</v>
      </c>
      <c r="D5" s="2">
        <v>69250</v>
      </c>
      <c r="E5" s="2" t="s">
        <v>14</v>
      </c>
      <c r="F5" s="59">
        <v>46384</v>
      </c>
      <c r="G5" s="2" t="s">
        <v>304</v>
      </c>
      <c r="H5">
        <v>5</v>
      </c>
      <c r="I5" s="2" t="s">
        <v>48</v>
      </c>
      <c r="J5" s="2" t="s">
        <v>42</v>
      </c>
      <c r="K5" s="2" t="s">
        <v>71</v>
      </c>
      <c r="L5" s="2" t="s">
        <v>69</v>
      </c>
    </row>
    <row r="6" spans="1:12">
      <c r="A6" s="2" t="s">
        <v>312</v>
      </c>
      <c r="B6" s="2" t="s">
        <v>303</v>
      </c>
      <c r="C6" s="2">
        <v>1002304965</v>
      </c>
      <c r="D6" s="2">
        <v>65160</v>
      </c>
      <c r="E6" s="2" t="s">
        <v>14</v>
      </c>
      <c r="F6" s="59">
        <v>46384</v>
      </c>
      <c r="G6" s="2" t="s">
        <v>304</v>
      </c>
      <c r="H6">
        <v>5</v>
      </c>
      <c r="I6" s="2" t="s">
        <v>48</v>
      </c>
      <c r="J6" s="2" t="s">
        <v>42</v>
      </c>
      <c r="K6" s="2" t="s">
        <v>71</v>
      </c>
      <c r="L6" s="2" t="s">
        <v>69</v>
      </c>
    </row>
    <row r="7" spans="1:12">
      <c r="A7" s="2" t="s">
        <v>312</v>
      </c>
      <c r="B7" s="2" t="s">
        <v>313</v>
      </c>
      <c r="C7" s="2">
        <v>1002300819</v>
      </c>
      <c r="D7" s="2">
        <v>61900</v>
      </c>
      <c r="E7" s="2" t="s">
        <v>14</v>
      </c>
      <c r="F7" s="59">
        <v>46384</v>
      </c>
      <c r="G7" s="2" t="s">
        <v>304</v>
      </c>
      <c r="H7">
        <v>6</v>
      </c>
      <c r="I7" s="2" t="s">
        <v>48</v>
      </c>
      <c r="J7" s="2" t="s">
        <v>42</v>
      </c>
      <c r="K7" s="2" t="s">
        <v>71</v>
      </c>
      <c r="L7" s="2" t="s">
        <v>69</v>
      </c>
    </row>
    <row r="8" spans="1:12">
      <c r="A8" s="2" t="s">
        <v>312</v>
      </c>
      <c r="B8" s="2" t="s">
        <v>303</v>
      </c>
      <c r="C8" s="2">
        <v>1002300814</v>
      </c>
      <c r="D8" s="2">
        <v>55510</v>
      </c>
      <c r="E8" s="2" t="s">
        <v>14</v>
      </c>
      <c r="F8" s="59">
        <v>46384</v>
      </c>
      <c r="G8" s="2" t="s">
        <v>304</v>
      </c>
      <c r="H8">
        <v>5</v>
      </c>
      <c r="I8" s="2" t="s">
        <v>48</v>
      </c>
      <c r="J8" s="2" t="s">
        <v>42</v>
      </c>
      <c r="K8" s="2" t="s">
        <v>71</v>
      </c>
      <c r="L8" s="2" t="s">
        <v>69</v>
      </c>
    </row>
    <row r="9" spans="1:12">
      <c r="A9" s="2" t="s">
        <v>312</v>
      </c>
      <c r="B9" s="2" t="s">
        <v>313</v>
      </c>
      <c r="C9" s="2">
        <v>1002300822</v>
      </c>
      <c r="D9" s="2">
        <v>50200</v>
      </c>
      <c r="E9" s="2" t="s">
        <v>14</v>
      </c>
      <c r="F9" s="59">
        <v>46384</v>
      </c>
      <c r="G9" s="2" t="s">
        <v>304</v>
      </c>
      <c r="H9">
        <v>6</v>
      </c>
      <c r="I9" s="2" t="s">
        <v>48</v>
      </c>
      <c r="J9" s="2" t="s">
        <v>42</v>
      </c>
      <c r="K9" s="2" t="s">
        <v>71</v>
      </c>
      <c r="L9" s="2" t="s">
        <v>69</v>
      </c>
    </row>
    <row r="10" spans="1:12">
      <c r="A10" s="2" t="s">
        <v>312</v>
      </c>
      <c r="B10" s="2" t="s">
        <v>319</v>
      </c>
      <c r="C10" s="2">
        <v>1002300826</v>
      </c>
      <c r="D10" s="2">
        <v>34140</v>
      </c>
      <c r="E10" s="2" t="s">
        <v>14</v>
      </c>
      <c r="F10" s="59">
        <v>46384</v>
      </c>
      <c r="G10" s="2" t="s">
        <v>304</v>
      </c>
      <c r="H10">
        <v>4</v>
      </c>
      <c r="I10" s="2" t="s">
        <v>48</v>
      </c>
      <c r="J10" s="2" t="s">
        <v>42</v>
      </c>
      <c r="K10" s="2" t="s">
        <v>71</v>
      </c>
      <c r="L10" s="2" t="s">
        <v>69</v>
      </c>
    </row>
    <row r="11" spans="1:12">
      <c r="A11" s="2" t="s">
        <v>312</v>
      </c>
      <c r="B11" s="2" t="s">
        <v>324</v>
      </c>
      <c r="C11" s="2">
        <v>1002300825</v>
      </c>
      <c r="D11" s="2">
        <v>30760</v>
      </c>
      <c r="E11" s="2" t="s">
        <v>14</v>
      </c>
      <c r="F11" s="59">
        <v>46384</v>
      </c>
      <c r="G11" s="2" t="s">
        <v>304</v>
      </c>
      <c r="H11">
        <v>5</v>
      </c>
      <c r="I11" s="2" t="s">
        <v>48</v>
      </c>
      <c r="J11" s="2" t="s">
        <v>42</v>
      </c>
      <c r="K11" s="2" t="s">
        <v>71</v>
      </c>
      <c r="L11" s="2" t="s">
        <v>69</v>
      </c>
    </row>
    <row r="12" spans="1:12">
      <c r="A12" s="2" t="s">
        <v>70</v>
      </c>
      <c r="B12" s="2" t="s">
        <v>362</v>
      </c>
      <c r="C12" s="2">
        <v>1002303211</v>
      </c>
      <c r="D12" s="2">
        <v>28890</v>
      </c>
      <c r="E12" s="2" t="s">
        <v>14</v>
      </c>
      <c r="F12" s="59">
        <v>46384</v>
      </c>
      <c r="G12" s="2" t="s">
        <v>25</v>
      </c>
      <c r="H12">
        <v>5</v>
      </c>
      <c r="I12" s="2" t="s">
        <v>48</v>
      </c>
      <c r="J12" s="2" t="s">
        <v>42</v>
      </c>
      <c r="K12" s="2" t="s">
        <v>71</v>
      </c>
      <c r="L12" s="2" t="s">
        <v>69</v>
      </c>
    </row>
    <row r="13" spans="1:12">
      <c r="A13" s="2" t="s">
        <v>312</v>
      </c>
      <c r="B13" s="2" t="s">
        <v>303</v>
      </c>
      <c r="C13" s="2">
        <v>1002300816</v>
      </c>
      <c r="D13" s="2">
        <v>24740</v>
      </c>
      <c r="E13" s="2" t="s">
        <v>14</v>
      </c>
      <c r="F13" s="59">
        <v>46384</v>
      </c>
      <c r="G13" s="2" t="s">
        <v>304</v>
      </c>
      <c r="H13">
        <v>5</v>
      </c>
      <c r="I13" s="2" t="s">
        <v>48</v>
      </c>
      <c r="J13" s="2" t="s">
        <v>42</v>
      </c>
      <c r="K13" s="2" t="s">
        <v>71</v>
      </c>
      <c r="L13" s="2" t="s">
        <v>69</v>
      </c>
    </row>
    <row r="14" spans="1:12">
      <c r="A14" s="2" t="s">
        <v>70</v>
      </c>
      <c r="B14" s="2" t="s">
        <v>362</v>
      </c>
      <c r="C14" s="2">
        <v>1002303213</v>
      </c>
      <c r="D14" s="2">
        <v>24360</v>
      </c>
      <c r="E14" s="2" t="s">
        <v>14</v>
      </c>
      <c r="F14" s="59">
        <v>46384</v>
      </c>
      <c r="G14" s="2" t="s">
        <v>25</v>
      </c>
      <c r="H14">
        <v>5</v>
      </c>
      <c r="I14" s="2" t="s">
        <v>48</v>
      </c>
      <c r="J14" s="2" t="s">
        <v>42</v>
      </c>
      <c r="K14" s="2" t="s">
        <v>71</v>
      </c>
      <c r="L14" s="2" t="s">
        <v>69</v>
      </c>
    </row>
    <row r="15" spans="1:12">
      <c r="A15" s="2" t="s">
        <v>312</v>
      </c>
      <c r="B15" s="2" t="s">
        <v>365</v>
      </c>
      <c r="C15" s="2">
        <v>1002303193</v>
      </c>
      <c r="D15" s="2">
        <v>23050</v>
      </c>
      <c r="E15" s="2" t="s">
        <v>14</v>
      </c>
      <c r="F15" s="59">
        <v>46384</v>
      </c>
      <c r="G15" s="2" t="s">
        <v>360</v>
      </c>
      <c r="H15">
        <v>8</v>
      </c>
      <c r="I15" s="2" t="s">
        <v>48</v>
      </c>
      <c r="J15" s="2" t="s">
        <v>42</v>
      </c>
      <c r="K15" s="2" t="s">
        <v>71</v>
      </c>
      <c r="L15" s="2" t="s">
        <v>69</v>
      </c>
    </row>
    <row r="16" spans="1:12">
      <c r="A16" s="2" t="s">
        <v>312</v>
      </c>
      <c r="B16" s="2" t="s">
        <v>354</v>
      </c>
      <c r="C16" s="2">
        <v>1002303196</v>
      </c>
      <c r="D16" s="2">
        <v>21650</v>
      </c>
      <c r="E16" s="2" t="s">
        <v>14</v>
      </c>
      <c r="F16" s="59">
        <v>46384</v>
      </c>
      <c r="G16" s="2" t="s">
        <v>348</v>
      </c>
      <c r="H16">
        <v>8</v>
      </c>
      <c r="I16" s="2" t="s">
        <v>48</v>
      </c>
      <c r="J16" s="2" t="s">
        <v>42</v>
      </c>
      <c r="K16" s="2" t="s">
        <v>71</v>
      </c>
      <c r="L16" s="2" t="s">
        <v>69</v>
      </c>
    </row>
    <row r="17" spans="1:12">
      <c r="A17" s="2" t="s">
        <v>312</v>
      </c>
      <c r="B17" s="2" t="s">
        <v>355</v>
      </c>
      <c r="C17" s="2">
        <v>1002302885</v>
      </c>
      <c r="D17" s="2">
        <v>19200</v>
      </c>
      <c r="E17" s="2" t="s">
        <v>14</v>
      </c>
      <c r="F17" s="59">
        <v>46384</v>
      </c>
      <c r="G17" s="2" t="s">
        <v>348</v>
      </c>
      <c r="H17">
        <v>6</v>
      </c>
      <c r="I17" s="2" t="s">
        <v>48</v>
      </c>
      <c r="J17" s="2" t="s">
        <v>42</v>
      </c>
      <c r="K17" s="2" t="s">
        <v>71</v>
      </c>
      <c r="L17" s="2" t="s">
        <v>69</v>
      </c>
    </row>
    <row r="18" spans="1:12">
      <c r="A18" s="2" t="s">
        <v>312</v>
      </c>
      <c r="B18" s="2" t="s">
        <v>303</v>
      </c>
      <c r="C18" s="2">
        <v>1002305519</v>
      </c>
      <c r="D18" s="2">
        <v>17710</v>
      </c>
      <c r="E18" s="2" t="s">
        <v>14</v>
      </c>
      <c r="F18" s="59">
        <v>46384</v>
      </c>
      <c r="G18" s="2" t="s">
        <v>304</v>
      </c>
      <c r="H18">
        <v>5</v>
      </c>
      <c r="I18" s="2" t="s">
        <v>48</v>
      </c>
      <c r="J18" s="2" t="s">
        <v>42</v>
      </c>
      <c r="K18" s="2" t="s">
        <v>71</v>
      </c>
      <c r="L18" s="2" t="s">
        <v>69</v>
      </c>
    </row>
    <row r="19" spans="1:12">
      <c r="A19" s="2" t="s">
        <v>247</v>
      </c>
      <c r="B19" s="2" t="s">
        <v>342</v>
      </c>
      <c r="C19" s="2">
        <v>1002266120</v>
      </c>
      <c r="D19" s="2">
        <v>15020</v>
      </c>
      <c r="E19" s="2" t="s">
        <v>14</v>
      </c>
      <c r="F19" s="59">
        <v>46233</v>
      </c>
      <c r="G19" s="2" t="s">
        <v>246</v>
      </c>
      <c r="H19">
        <v>1</v>
      </c>
      <c r="I19" s="2" t="s">
        <v>48</v>
      </c>
      <c r="J19" s="2" t="s">
        <v>42</v>
      </c>
      <c r="K19" s="2" t="s">
        <v>71</v>
      </c>
      <c r="L19" s="2" t="s">
        <v>69</v>
      </c>
    </row>
    <row r="20" spans="1:12">
      <c r="A20" s="2" t="s">
        <v>312</v>
      </c>
      <c r="B20" s="2" t="s">
        <v>363</v>
      </c>
      <c r="C20" s="2">
        <v>1002302884</v>
      </c>
      <c r="D20" s="2">
        <v>14300</v>
      </c>
      <c r="E20" s="2" t="s">
        <v>14</v>
      </c>
      <c r="F20" s="59">
        <v>46384</v>
      </c>
      <c r="G20" s="2" t="s">
        <v>348</v>
      </c>
      <c r="H20">
        <v>2</v>
      </c>
      <c r="I20" s="2" t="s">
        <v>48</v>
      </c>
      <c r="J20" s="2" t="s">
        <v>42</v>
      </c>
      <c r="K20" s="2" t="s">
        <v>71</v>
      </c>
      <c r="L20" s="2" t="s">
        <v>69</v>
      </c>
    </row>
    <row r="21" spans="1:12">
      <c r="A21" s="2" t="s">
        <v>312</v>
      </c>
      <c r="B21" s="2" t="s">
        <v>303</v>
      </c>
      <c r="C21" s="2">
        <v>1002300813</v>
      </c>
      <c r="D21" s="2">
        <v>14080</v>
      </c>
      <c r="E21" s="2" t="s">
        <v>14</v>
      </c>
      <c r="F21" s="59">
        <v>46384</v>
      </c>
      <c r="G21" s="2" t="s">
        <v>304</v>
      </c>
      <c r="H21">
        <v>5</v>
      </c>
      <c r="I21" s="2" t="s">
        <v>48</v>
      </c>
      <c r="J21" s="2" t="s">
        <v>42</v>
      </c>
      <c r="K21" s="2" t="s">
        <v>71</v>
      </c>
      <c r="L21" s="2" t="s">
        <v>69</v>
      </c>
    </row>
    <row r="22" spans="1:12">
      <c r="A22" s="2" t="s">
        <v>67</v>
      </c>
      <c r="B22" s="2" t="s">
        <v>346</v>
      </c>
      <c r="C22" s="2">
        <v>1002307261</v>
      </c>
      <c r="D22" s="2">
        <v>11000</v>
      </c>
      <c r="E22" s="2" t="s">
        <v>14</v>
      </c>
      <c r="F22" s="59">
        <v>46324</v>
      </c>
      <c r="G22" s="2" t="s">
        <v>315</v>
      </c>
      <c r="H22">
        <v>9</v>
      </c>
      <c r="I22" s="2" t="s">
        <v>48</v>
      </c>
      <c r="J22" s="2" t="s">
        <v>42</v>
      </c>
      <c r="K22" s="2" t="s">
        <v>71</v>
      </c>
      <c r="L22" s="2" t="s">
        <v>69</v>
      </c>
    </row>
    <row r="23" spans="1:12">
      <c r="A23" s="2" t="s">
        <v>312</v>
      </c>
      <c r="B23" s="2" t="s">
        <v>359</v>
      </c>
      <c r="C23" s="2">
        <v>1002303195</v>
      </c>
      <c r="D23" s="2">
        <v>10820</v>
      </c>
      <c r="E23" s="2" t="s">
        <v>14</v>
      </c>
      <c r="F23" s="59">
        <v>46384</v>
      </c>
      <c r="G23" s="2" t="s">
        <v>360</v>
      </c>
      <c r="H23">
        <v>8</v>
      </c>
      <c r="I23" s="2" t="s">
        <v>48</v>
      </c>
      <c r="J23" s="2" t="s">
        <v>42</v>
      </c>
      <c r="K23" s="2" t="s">
        <v>71</v>
      </c>
      <c r="L23" s="2" t="s">
        <v>69</v>
      </c>
    </row>
    <row r="24" spans="1:12">
      <c r="A24" s="2" t="s">
        <v>70</v>
      </c>
      <c r="B24" s="2" t="s">
        <v>364</v>
      </c>
      <c r="C24" s="2">
        <v>1002303204</v>
      </c>
      <c r="D24" s="2">
        <v>10800</v>
      </c>
      <c r="E24" s="2" t="s">
        <v>14</v>
      </c>
      <c r="F24" s="59">
        <v>46384</v>
      </c>
      <c r="G24" s="2" t="s">
        <v>25</v>
      </c>
      <c r="H24">
        <v>7</v>
      </c>
      <c r="I24" s="2" t="s">
        <v>48</v>
      </c>
      <c r="J24" s="2" t="s">
        <v>42</v>
      </c>
      <c r="K24" s="2" t="s">
        <v>71</v>
      </c>
      <c r="L24" s="2" t="s">
        <v>69</v>
      </c>
    </row>
    <row r="25" spans="1:12">
      <c r="A25" s="2" t="s">
        <v>312</v>
      </c>
      <c r="B25" s="2" t="s">
        <v>363</v>
      </c>
      <c r="C25" s="2">
        <v>1002307905</v>
      </c>
      <c r="D25" s="2">
        <v>10490</v>
      </c>
      <c r="E25" s="2" t="s">
        <v>14</v>
      </c>
      <c r="F25" s="59">
        <v>46384</v>
      </c>
      <c r="G25" s="2" t="s">
        <v>348</v>
      </c>
      <c r="H25">
        <v>2</v>
      </c>
      <c r="I25" s="2" t="s">
        <v>48</v>
      </c>
      <c r="J25" s="2" t="s">
        <v>42</v>
      </c>
      <c r="K25" s="2" t="s">
        <v>71</v>
      </c>
      <c r="L25" s="2" t="s">
        <v>69</v>
      </c>
    </row>
    <row r="26" spans="1:12">
      <c r="A26" s="2" t="s">
        <v>378</v>
      </c>
      <c r="B26" s="2" t="s">
        <v>376</v>
      </c>
      <c r="C26" s="2">
        <v>120000902</v>
      </c>
      <c r="D26" s="2">
        <v>7173</v>
      </c>
      <c r="E26" s="2" t="s">
        <v>14</v>
      </c>
      <c r="F26" s="59">
        <v>46357</v>
      </c>
      <c r="G26" s="2" t="s">
        <v>377</v>
      </c>
      <c r="H26"/>
      <c r="I26" s="2" t="s">
        <v>48</v>
      </c>
      <c r="J26" s="2" t="s">
        <v>42</v>
      </c>
      <c r="K26" s="2" t="s">
        <v>71</v>
      </c>
      <c r="L26" s="2" t="s">
        <v>69</v>
      </c>
    </row>
    <row r="27" spans="1:12">
      <c r="A27" s="2" t="s">
        <v>378</v>
      </c>
      <c r="B27" s="2" t="s">
        <v>376</v>
      </c>
      <c r="C27" s="2">
        <v>120000903</v>
      </c>
      <c r="D27" s="2">
        <v>6755</v>
      </c>
      <c r="E27" s="2" t="s">
        <v>14</v>
      </c>
      <c r="F27" s="59">
        <v>46357</v>
      </c>
      <c r="G27" s="2" t="s">
        <v>377</v>
      </c>
      <c r="H27"/>
      <c r="I27" s="2" t="s">
        <v>48</v>
      </c>
      <c r="J27" s="2" t="s">
        <v>42</v>
      </c>
      <c r="K27" s="2" t="s">
        <v>71</v>
      </c>
      <c r="L27" s="2" t="s">
        <v>69</v>
      </c>
    </row>
    <row r="28" spans="1:12">
      <c r="A28" s="2" t="s">
        <v>67</v>
      </c>
      <c r="B28" s="2" t="s">
        <v>339</v>
      </c>
      <c r="C28" s="2">
        <v>1002307551</v>
      </c>
      <c r="D28" s="2">
        <v>6400</v>
      </c>
      <c r="E28" s="2" t="s">
        <v>14</v>
      </c>
      <c r="F28" s="59">
        <v>46324</v>
      </c>
      <c r="G28" s="2" t="s">
        <v>15</v>
      </c>
      <c r="H28">
        <v>2</v>
      </c>
      <c r="I28" s="2" t="s">
        <v>48</v>
      </c>
      <c r="J28" s="2" t="s">
        <v>42</v>
      </c>
      <c r="K28" s="2" t="s">
        <v>71</v>
      </c>
      <c r="L28" s="2" t="s">
        <v>69</v>
      </c>
    </row>
    <row r="29" spans="1:12">
      <c r="A29" s="2" t="s">
        <v>67</v>
      </c>
      <c r="B29" s="2" t="s">
        <v>356</v>
      </c>
      <c r="C29" s="2">
        <v>1002303120</v>
      </c>
      <c r="D29" s="2">
        <v>5048.5</v>
      </c>
      <c r="E29" s="2" t="s">
        <v>14</v>
      </c>
      <c r="F29" s="59">
        <v>46371</v>
      </c>
      <c r="G29" s="2" t="s">
        <v>321</v>
      </c>
      <c r="H29">
        <v>7</v>
      </c>
      <c r="I29" s="2" t="s">
        <v>48</v>
      </c>
      <c r="J29" s="2" t="s">
        <v>42</v>
      </c>
      <c r="K29" s="2" t="s">
        <v>71</v>
      </c>
      <c r="L29" s="2" t="s">
        <v>69</v>
      </c>
    </row>
    <row r="30" spans="1:12">
      <c r="A30" s="2" t="s">
        <v>378</v>
      </c>
      <c r="B30" s="2" t="s">
        <v>376</v>
      </c>
      <c r="C30" s="2">
        <v>120000904</v>
      </c>
      <c r="D30" s="2">
        <v>3987.5</v>
      </c>
      <c r="E30" s="2" t="s">
        <v>14</v>
      </c>
      <c r="F30" s="59">
        <v>46357</v>
      </c>
      <c r="G30" s="2" t="s">
        <v>377</v>
      </c>
      <c r="H30"/>
      <c r="I30" s="2" t="s">
        <v>48</v>
      </c>
      <c r="J30" s="2" t="s">
        <v>42</v>
      </c>
      <c r="K30" s="2" t="s">
        <v>71</v>
      </c>
      <c r="L30" s="2" t="s">
        <v>69</v>
      </c>
    </row>
    <row r="31" spans="1:12">
      <c r="A31" s="2" t="s">
        <v>70</v>
      </c>
      <c r="B31" s="2" t="s">
        <v>24</v>
      </c>
      <c r="C31" s="2">
        <v>1002163895</v>
      </c>
      <c r="D31" s="2">
        <v>3495</v>
      </c>
      <c r="E31" s="2" t="s">
        <v>14</v>
      </c>
      <c r="F31" s="59">
        <v>45986</v>
      </c>
      <c r="G31" s="2" t="s">
        <v>25</v>
      </c>
      <c r="H31">
        <v>3</v>
      </c>
      <c r="I31" s="2" t="s">
        <v>48</v>
      </c>
      <c r="J31" s="2" t="s">
        <v>42</v>
      </c>
      <c r="K31" s="2" t="s">
        <v>71</v>
      </c>
      <c r="L31" s="2" t="s">
        <v>69</v>
      </c>
    </row>
    <row r="32" spans="1:12">
      <c r="A32" s="2" t="s">
        <v>67</v>
      </c>
      <c r="B32" s="2" t="s">
        <v>320</v>
      </c>
      <c r="C32" s="2">
        <v>1002295419</v>
      </c>
      <c r="D32" s="2">
        <v>3473</v>
      </c>
      <c r="E32" s="2" t="s">
        <v>14</v>
      </c>
      <c r="F32" s="59">
        <v>46386</v>
      </c>
      <c r="G32" s="2" t="s">
        <v>321</v>
      </c>
      <c r="H32">
        <v>9</v>
      </c>
      <c r="I32" s="2" t="s">
        <v>48</v>
      </c>
      <c r="J32" s="2" t="s">
        <v>42</v>
      </c>
      <c r="K32" s="2" t="s">
        <v>71</v>
      </c>
      <c r="L32" s="2" t="s">
        <v>69</v>
      </c>
    </row>
    <row r="33" spans="1:12">
      <c r="A33" s="2" t="s">
        <v>312</v>
      </c>
      <c r="B33" s="2" t="s">
        <v>347</v>
      </c>
      <c r="C33" s="2">
        <v>1002303190</v>
      </c>
      <c r="D33" s="2">
        <v>3460</v>
      </c>
      <c r="E33" s="2" t="s">
        <v>14</v>
      </c>
      <c r="F33" s="59">
        <v>46384</v>
      </c>
      <c r="G33" s="2" t="s">
        <v>348</v>
      </c>
      <c r="H33">
        <v>3</v>
      </c>
      <c r="I33" s="2" t="s">
        <v>48</v>
      </c>
      <c r="J33" s="2" t="s">
        <v>42</v>
      </c>
      <c r="K33" s="2" t="s">
        <v>71</v>
      </c>
      <c r="L33" s="2" t="s">
        <v>69</v>
      </c>
    </row>
    <row r="34" spans="1:12">
      <c r="A34" s="2" t="s">
        <v>67</v>
      </c>
      <c r="B34" s="2" t="s">
        <v>340</v>
      </c>
      <c r="C34" s="2">
        <v>1002307550</v>
      </c>
      <c r="D34" s="2">
        <v>3300</v>
      </c>
      <c r="E34" s="2" t="s">
        <v>14</v>
      </c>
      <c r="F34" s="59">
        <v>46324</v>
      </c>
      <c r="G34" s="2" t="s">
        <v>23</v>
      </c>
      <c r="H34">
        <v>4</v>
      </c>
      <c r="I34" s="2" t="s">
        <v>48</v>
      </c>
      <c r="J34" s="2" t="s">
        <v>42</v>
      </c>
      <c r="K34" s="2" t="s">
        <v>71</v>
      </c>
      <c r="L34" s="2" t="s">
        <v>69</v>
      </c>
    </row>
    <row r="35" spans="1:12">
      <c r="A35" s="2" t="s">
        <v>70</v>
      </c>
      <c r="B35" s="2" t="s">
        <v>362</v>
      </c>
      <c r="C35" s="2">
        <v>1002308866</v>
      </c>
      <c r="D35" s="2">
        <v>2560</v>
      </c>
      <c r="E35" s="2" t="s">
        <v>14</v>
      </c>
      <c r="F35" s="59">
        <v>46384</v>
      </c>
      <c r="G35" s="2" t="s">
        <v>25</v>
      </c>
      <c r="H35">
        <v>5</v>
      </c>
      <c r="I35" s="2" t="s">
        <v>48</v>
      </c>
      <c r="J35" s="2" t="s">
        <v>42</v>
      </c>
      <c r="K35" s="2" t="s">
        <v>71</v>
      </c>
      <c r="L35" s="2" t="s">
        <v>69</v>
      </c>
    </row>
    <row r="36" spans="1:12">
      <c r="A36" s="2" t="s">
        <v>73</v>
      </c>
      <c r="B36" s="2" t="s">
        <v>222</v>
      </c>
      <c r="C36" s="2">
        <v>1002270166</v>
      </c>
      <c r="D36" s="2">
        <v>1939</v>
      </c>
      <c r="E36" s="2" t="s">
        <v>14</v>
      </c>
      <c r="F36" s="59">
        <v>46164</v>
      </c>
      <c r="G36" s="2" t="s">
        <v>223</v>
      </c>
      <c r="H36"/>
      <c r="I36" s="2" t="s">
        <v>48</v>
      </c>
      <c r="J36" s="2" t="s">
        <v>42</v>
      </c>
      <c r="K36" s="2" t="s">
        <v>71</v>
      </c>
      <c r="L36" s="2" t="s">
        <v>69</v>
      </c>
    </row>
    <row r="37" spans="1:12">
      <c r="A37" s="2" t="s">
        <v>70</v>
      </c>
      <c r="B37" s="2" t="s">
        <v>367</v>
      </c>
      <c r="C37" s="2">
        <v>1002303238</v>
      </c>
      <c r="D37" s="2">
        <v>1720</v>
      </c>
      <c r="E37" s="2" t="s">
        <v>14</v>
      </c>
      <c r="F37" s="59">
        <v>46384</v>
      </c>
      <c r="G37" s="2" t="s">
        <v>25</v>
      </c>
      <c r="H37">
        <v>1</v>
      </c>
      <c r="I37" s="2" t="s">
        <v>48</v>
      </c>
      <c r="J37" s="2" t="s">
        <v>42</v>
      </c>
      <c r="K37" s="2" t="s">
        <v>71</v>
      </c>
      <c r="L37" s="2" t="s">
        <v>69</v>
      </c>
    </row>
    <row r="38" spans="1:12">
      <c r="A38" s="2" t="s">
        <v>70</v>
      </c>
      <c r="B38" s="2" t="s">
        <v>361</v>
      </c>
      <c r="C38" s="2">
        <v>1002303218</v>
      </c>
      <c r="D38" s="2">
        <v>1120</v>
      </c>
      <c r="E38" s="2" t="s">
        <v>14</v>
      </c>
      <c r="F38" s="59">
        <v>46384</v>
      </c>
      <c r="G38" s="2" t="s">
        <v>25</v>
      </c>
      <c r="H38">
        <v>5</v>
      </c>
      <c r="I38" s="2" t="s">
        <v>48</v>
      </c>
      <c r="J38" s="2" t="s">
        <v>42</v>
      </c>
      <c r="K38" s="2" t="s">
        <v>71</v>
      </c>
      <c r="L38" s="2" t="s">
        <v>69</v>
      </c>
    </row>
    <row r="39" spans="1:12">
      <c r="A39" s="2" t="s">
        <v>70</v>
      </c>
      <c r="B39" s="2" t="s">
        <v>366</v>
      </c>
      <c r="C39" s="2">
        <v>1002303237</v>
      </c>
      <c r="D39" s="2">
        <v>1110</v>
      </c>
      <c r="E39" s="2" t="s">
        <v>14</v>
      </c>
      <c r="F39" s="59">
        <v>46384</v>
      </c>
      <c r="G39" s="2" t="s">
        <v>25</v>
      </c>
      <c r="H39">
        <v>9</v>
      </c>
      <c r="I39" s="2" t="s">
        <v>48</v>
      </c>
      <c r="J39" s="2" t="s">
        <v>42</v>
      </c>
      <c r="K39" s="2" t="s">
        <v>71</v>
      </c>
      <c r="L39" s="2" t="s">
        <v>69</v>
      </c>
    </row>
    <row r="40" spans="1:12">
      <c r="A40" s="2" t="s">
        <v>67</v>
      </c>
      <c r="B40" s="2" t="s">
        <v>242</v>
      </c>
      <c r="C40" s="2">
        <v>1002282491</v>
      </c>
      <c r="D40" s="2">
        <v>462.5</v>
      </c>
      <c r="E40" s="2" t="s">
        <v>14</v>
      </c>
      <c r="F40" s="59">
        <v>46219</v>
      </c>
      <c r="G40" s="2" t="s">
        <v>233</v>
      </c>
      <c r="H40"/>
      <c r="I40" s="2" t="s">
        <v>48</v>
      </c>
      <c r="J40" s="2" t="s">
        <v>42</v>
      </c>
      <c r="K40" s="2" t="s">
        <v>71</v>
      </c>
      <c r="L40" s="2" t="s">
        <v>69</v>
      </c>
    </row>
    <row r="41" spans="1:12">
      <c r="A41" s="2" t="s">
        <v>67</v>
      </c>
      <c r="B41" s="2" t="s">
        <v>388</v>
      </c>
      <c r="C41" s="2">
        <v>1002309463</v>
      </c>
      <c r="D41" s="2">
        <v>216.5</v>
      </c>
      <c r="E41" s="2" t="s">
        <v>14</v>
      </c>
      <c r="F41" s="59">
        <v>46387</v>
      </c>
      <c r="G41" s="2" t="s">
        <v>233</v>
      </c>
      <c r="H41">
        <v>9</v>
      </c>
      <c r="I41" s="2" t="s">
        <v>48</v>
      </c>
      <c r="J41" s="2" t="s">
        <v>42</v>
      </c>
      <c r="K41" s="2" t="s">
        <v>71</v>
      </c>
      <c r="L41" s="2" t="s">
        <v>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D661-8F0E-43BE-9249-B3EFD2F460FC}">
  <dimension ref="B1:O23"/>
  <sheetViews>
    <sheetView topLeftCell="B1" workbookViewId="0">
      <selection activeCell="D8" sqref="D8"/>
    </sheetView>
  </sheetViews>
  <sheetFormatPr baseColWidth="10" defaultColWidth="9" defaultRowHeight="15"/>
  <cols>
    <col min="1" max="1" width="9" style="2"/>
    <col min="2" max="2" width="6.6640625" style="2" bestFit="1" customWidth="1"/>
    <col min="3" max="3" width="36" style="2" bestFit="1" customWidth="1"/>
    <col min="4" max="4" width="12.1640625" style="2" bestFit="1" customWidth="1"/>
    <col min="5" max="5" width="12.6640625" style="2" bestFit="1" customWidth="1"/>
    <col min="6" max="6" width="7.1640625" style="2" bestFit="1" customWidth="1"/>
    <col min="7" max="7" width="26.33203125" style="59" bestFit="1" customWidth="1"/>
    <col min="8" max="8" width="40.83203125" style="2" bestFit="1" customWidth="1"/>
    <col min="9" max="9" width="9" style="2" bestFit="1" customWidth="1"/>
    <col min="10" max="10" width="11.1640625" style="2" bestFit="1" customWidth="1"/>
    <col min="11" max="11" width="12.6640625" style="2" bestFit="1" customWidth="1"/>
    <col min="12" max="12" width="10.6640625" style="2" bestFit="1" customWidth="1"/>
    <col min="13" max="13" width="14.33203125" style="2" bestFit="1" customWidth="1"/>
    <col min="14" max="14" width="7.5" style="2" bestFit="1" customWidth="1"/>
    <col min="15" max="15" width="10.1640625" style="2" bestFit="1" customWidth="1"/>
    <col min="16" max="16384" width="9" style="2"/>
  </cols>
  <sheetData>
    <row r="1" spans="2: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59" t="s">
        <v>5</v>
      </c>
      <c r="H1" s="2" t="s">
        <v>6</v>
      </c>
      <c r="I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t="s">
        <v>12</v>
      </c>
      <c r="O1" t="s">
        <v>13</v>
      </c>
    </row>
    <row r="2" spans="2:15">
      <c r="B2" s="2" t="s">
        <v>247</v>
      </c>
      <c r="C2" s="2" t="s">
        <v>333</v>
      </c>
      <c r="D2" s="2">
        <v>2400008091</v>
      </c>
      <c r="E2" s="2">
        <v>12159</v>
      </c>
      <c r="F2" s="2" t="s">
        <v>14</v>
      </c>
      <c r="G2" s="59">
        <v>46288</v>
      </c>
      <c r="H2" s="2" t="s">
        <v>328</v>
      </c>
      <c r="I2"/>
      <c r="J2" s="2" t="s">
        <v>48</v>
      </c>
      <c r="K2" s="2" t="s">
        <v>37</v>
      </c>
      <c r="L2" s="2" t="s">
        <v>72</v>
      </c>
      <c r="M2" s="2" t="s">
        <v>69</v>
      </c>
      <c r="N2" t="s">
        <v>50</v>
      </c>
      <c r="O2" t="s">
        <v>50</v>
      </c>
    </row>
    <row r="3" spans="2:15">
      <c r="B3" s="2" t="s">
        <v>73</v>
      </c>
      <c r="C3" s="2" t="s">
        <v>345</v>
      </c>
      <c r="D3" s="2">
        <v>2400008095</v>
      </c>
      <c r="E3" s="2">
        <v>6047</v>
      </c>
      <c r="F3" s="2" t="s">
        <v>14</v>
      </c>
      <c r="G3" s="59">
        <v>46293</v>
      </c>
      <c r="H3" s="2" t="s">
        <v>386</v>
      </c>
      <c r="I3"/>
      <c r="J3" s="2" t="s">
        <v>48</v>
      </c>
      <c r="K3" s="2" t="s">
        <v>37</v>
      </c>
      <c r="L3" s="2" t="s">
        <v>72</v>
      </c>
      <c r="M3" s="2" t="s">
        <v>69</v>
      </c>
      <c r="N3" t="s">
        <v>50</v>
      </c>
      <c r="O3" t="s">
        <v>50</v>
      </c>
    </row>
    <row r="4" spans="2:15">
      <c r="B4" s="2" t="s">
        <v>67</v>
      </c>
      <c r="C4" s="2" t="s">
        <v>349</v>
      </c>
      <c r="D4" s="2">
        <v>2400008076</v>
      </c>
      <c r="E4" s="2">
        <v>4694</v>
      </c>
      <c r="F4" s="2" t="s">
        <v>14</v>
      </c>
      <c r="G4" s="59">
        <v>46294</v>
      </c>
      <c r="H4" s="2" t="s">
        <v>350</v>
      </c>
      <c r="I4"/>
      <c r="J4" s="2" t="s">
        <v>48</v>
      </c>
      <c r="K4" s="2" t="s">
        <v>37</v>
      </c>
      <c r="L4" s="2" t="s">
        <v>72</v>
      </c>
      <c r="M4" s="2" t="s">
        <v>69</v>
      </c>
      <c r="N4" t="s">
        <v>50</v>
      </c>
      <c r="O4" t="s">
        <v>50</v>
      </c>
    </row>
    <row r="5" spans="2:15">
      <c r="B5" s="2" t="s">
        <v>67</v>
      </c>
      <c r="C5" s="2" t="s">
        <v>239</v>
      </c>
      <c r="D5" s="2">
        <v>300102065</v>
      </c>
      <c r="E5" s="2">
        <v>4202.7349999999997</v>
      </c>
      <c r="F5" s="2" t="s">
        <v>14</v>
      </c>
      <c r="G5" s="59">
        <v>46213</v>
      </c>
      <c r="H5" s="2" t="s">
        <v>226</v>
      </c>
      <c r="I5"/>
      <c r="J5" s="2" t="s">
        <v>48</v>
      </c>
      <c r="K5" s="2" t="s">
        <v>37</v>
      </c>
      <c r="L5" s="2" t="s">
        <v>72</v>
      </c>
      <c r="M5" s="2" t="s">
        <v>69</v>
      </c>
      <c r="N5" t="s">
        <v>50</v>
      </c>
      <c r="O5" t="s">
        <v>50</v>
      </c>
    </row>
    <row r="6" spans="2:15">
      <c r="B6" s="2" t="s">
        <v>67</v>
      </c>
      <c r="C6" s="2" t="s">
        <v>16</v>
      </c>
      <c r="D6" s="2">
        <v>2400008125</v>
      </c>
      <c r="E6" s="2">
        <v>3994</v>
      </c>
      <c r="F6" s="2" t="s">
        <v>14</v>
      </c>
      <c r="G6" s="59">
        <v>46265</v>
      </c>
      <c r="H6" s="2" t="s">
        <v>257</v>
      </c>
      <c r="I6"/>
      <c r="J6" s="2" t="s">
        <v>48</v>
      </c>
      <c r="K6" s="2" t="s">
        <v>37</v>
      </c>
      <c r="L6" s="2" t="s">
        <v>72</v>
      </c>
      <c r="M6" s="2" t="s">
        <v>69</v>
      </c>
      <c r="N6" t="s">
        <v>50</v>
      </c>
      <c r="O6" t="s">
        <v>50</v>
      </c>
    </row>
    <row r="7" spans="2:15">
      <c r="B7" s="2" t="s">
        <v>67</v>
      </c>
      <c r="C7" s="2" t="s">
        <v>352</v>
      </c>
      <c r="D7" s="2">
        <v>2400008075</v>
      </c>
      <c r="E7" s="2">
        <v>2475</v>
      </c>
      <c r="F7" s="2" t="s">
        <v>14</v>
      </c>
      <c r="G7" s="59">
        <v>46290</v>
      </c>
      <c r="H7" s="2" t="s">
        <v>353</v>
      </c>
      <c r="I7"/>
      <c r="J7" s="2" t="s">
        <v>48</v>
      </c>
      <c r="K7" s="2" t="s">
        <v>37</v>
      </c>
      <c r="L7" s="2" t="s">
        <v>72</v>
      </c>
      <c r="M7" s="2" t="s">
        <v>69</v>
      </c>
      <c r="N7" t="s">
        <v>50</v>
      </c>
      <c r="O7" t="s">
        <v>50</v>
      </c>
    </row>
    <row r="8" spans="2:15">
      <c r="B8" s="2" t="s">
        <v>67</v>
      </c>
      <c r="C8" s="2" t="s">
        <v>236</v>
      </c>
      <c r="D8" s="2">
        <v>300102044</v>
      </c>
      <c r="E8" s="2">
        <v>1035</v>
      </c>
      <c r="F8" s="2" t="s">
        <v>14</v>
      </c>
      <c r="G8" s="59">
        <v>46209</v>
      </c>
      <c r="H8" s="2" t="s">
        <v>237</v>
      </c>
      <c r="I8"/>
      <c r="J8" s="2" t="s">
        <v>48</v>
      </c>
      <c r="K8" s="2" t="s">
        <v>37</v>
      </c>
      <c r="L8" s="2" t="s">
        <v>72</v>
      </c>
      <c r="M8" s="2" t="s">
        <v>69</v>
      </c>
      <c r="N8" t="s">
        <v>50</v>
      </c>
      <c r="O8" t="s">
        <v>50</v>
      </c>
    </row>
    <row r="9" spans="2:15">
      <c r="B9" s="2" t="s">
        <v>67</v>
      </c>
      <c r="C9" s="2" t="s">
        <v>230</v>
      </c>
      <c r="D9" s="2">
        <v>2400007696</v>
      </c>
      <c r="E9" s="2">
        <v>766.5</v>
      </c>
      <c r="F9" s="2" t="s">
        <v>14</v>
      </c>
      <c r="G9" s="59">
        <v>46190</v>
      </c>
      <c r="H9" s="2" t="s">
        <v>167</v>
      </c>
      <c r="I9"/>
      <c r="J9" s="2" t="s">
        <v>48</v>
      </c>
      <c r="K9" s="2" t="s">
        <v>37</v>
      </c>
      <c r="L9" s="2" t="s">
        <v>72</v>
      </c>
      <c r="M9" s="2" t="s">
        <v>69</v>
      </c>
      <c r="N9" t="s">
        <v>50</v>
      </c>
      <c r="O9" t="s">
        <v>50</v>
      </c>
    </row>
    <row r="10" spans="2:15">
      <c r="B10" s="2" t="s">
        <v>67</v>
      </c>
      <c r="C10" s="2" t="s">
        <v>17</v>
      </c>
      <c r="D10" s="2">
        <v>300102084</v>
      </c>
      <c r="E10" s="2">
        <v>564.5</v>
      </c>
      <c r="F10" s="2" t="s">
        <v>14</v>
      </c>
      <c r="G10" s="59">
        <v>46210</v>
      </c>
      <c r="H10" s="2" t="s">
        <v>238</v>
      </c>
      <c r="I10"/>
      <c r="J10" s="2" t="s">
        <v>48</v>
      </c>
      <c r="K10" s="2" t="s">
        <v>37</v>
      </c>
      <c r="L10" s="2" t="s">
        <v>72</v>
      </c>
      <c r="M10" s="2" t="s">
        <v>69</v>
      </c>
      <c r="N10" t="s">
        <v>50</v>
      </c>
      <c r="O10" t="s">
        <v>50</v>
      </c>
    </row>
    <row r="11" spans="2:15">
      <c r="B11" s="2" t="s">
        <v>67</v>
      </c>
      <c r="C11" s="2" t="s">
        <v>219</v>
      </c>
      <c r="D11" s="2">
        <v>2400007882</v>
      </c>
      <c r="E11" s="2">
        <v>486</v>
      </c>
      <c r="F11" s="2" t="s">
        <v>14</v>
      </c>
      <c r="G11" s="59">
        <v>46169</v>
      </c>
      <c r="H11" s="2" t="s">
        <v>167</v>
      </c>
      <c r="I11"/>
      <c r="J11" s="2" t="s">
        <v>48</v>
      </c>
      <c r="K11" s="2" t="s">
        <v>37</v>
      </c>
      <c r="L11" s="2" t="s">
        <v>72</v>
      </c>
      <c r="M11" s="2" t="s">
        <v>69</v>
      </c>
      <c r="N11" t="s">
        <v>50</v>
      </c>
      <c r="O11" t="s">
        <v>50</v>
      </c>
    </row>
    <row r="12" spans="2:15">
      <c r="B12" s="2" t="s">
        <v>67</v>
      </c>
      <c r="C12" s="2" t="s">
        <v>221</v>
      </c>
      <c r="D12" s="2">
        <v>2400008012</v>
      </c>
      <c r="E12" s="2">
        <v>477.452</v>
      </c>
      <c r="F12" s="2" t="s">
        <v>14</v>
      </c>
      <c r="G12" s="59">
        <v>46178</v>
      </c>
      <c r="H12" s="2" t="s">
        <v>167</v>
      </c>
      <c r="I12"/>
      <c r="J12" s="2" t="s">
        <v>48</v>
      </c>
      <c r="K12" s="2" t="s">
        <v>37</v>
      </c>
      <c r="L12" s="2" t="s">
        <v>72</v>
      </c>
      <c r="M12" s="2" t="s">
        <v>69</v>
      </c>
      <c r="N12" t="s">
        <v>50</v>
      </c>
      <c r="O12" t="s">
        <v>50</v>
      </c>
    </row>
    <row r="13" spans="2:15">
      <c r="B13" s="2" t="s">
        <v>67</v>
      </c>
      <c r="C13" s="2" t="s">
        <v>228</v>
      </c>
      <c r="D13" s="2">
        <v>2400008011</v>
      </c>
      <c r="E13" s="2">
        <v>397</v>
      </c>
      <c r="F13" s="2" t="s">
        <v>14</v>
      </c>
      <c r="G13" s="59">
        <v>46178</v>
      </c>
      <c r="H13" s="2" t="s">
        <v>227</v>
      </c>
      <c r="I13"/>
      <c r="J13" s="2" t="s">
        <v>48</v>
      </c>
      <c r="K13" s="2" t="s">
        <v>37</v>
      </c>
      <c r="L13" s="2" t="s">
        <v>72</v>
      </c>
      <c r="M13" s="2" t="s">
        <v>69</v>
      </c>
      <c r="N13" t="s">
        <v>50</v>
      </c>
      <c r="O13" t="s">
        <v>50</v>
      </c>
    </row>
    <row r="14" spans="2:15">
      <c r="B14" s="2" t="s">
        <v>73</v>
      </c>
      <c r="C14" s="2" t="s">
        <v>251</v>
      </c>
      <c r="D14" s="2">
        <v>2400008151</v>
      </c>
      <c r="E14" s="2">
        <v>347.5</v>
      </c>
      <c r="F14" s="2" t="s">
        <v>14</v>
      </c>
      <c r="G14" s="59">
        <v>46233</v>
      </c>
      <c r="H14" s="2" t="s">
        <v>252</v>
      </c>
      <c r="I14"/>
      <c r="J14" s="2" t="s">
        <v>48</v>
      </c>
      <c r="K14" s="2" t="s">
        <v>37</v>
      </c>
      <c r="L14" s="2" t="s">
        <v>72</v>
      </c>
      <c r="M14" s="2" t="s">
        <v>69</v>
      </c>
      <c r="N14" t="s">
        <v>50</v>
      </c>
      <c r="O14" t="s">
        <v>50</v>
      </c>
    </row>
    <row r="15" spans="2:15">
      <c r="B15" s="2" t="s">
        <v>73</v>
      </c>
      <c r="C15" s="2" t="s">
        <v>295</v>
      </c>
      <c r="D15" s="2">
        <v>2400008280</v>
      </c>
      <c r="E15" s="2">
        <v>244.5</v>
      </c>
      <c r="F15" s="2" t="s">
        <v>14</v>
      </c>
      <c r="G15" s="59">
        <v>46281</v>
      </c>
      <c r="H15" s="2" t="s">
        <v>248</v>
      </c>
      <c r="I15"/>
      <c r="J15" s="2" t="s">
        <v>48</v>
      </c>
      <c r="K15" s="2" t="s">
        <v>37</v>
      </c>
      <c r="L15" s="2" t="s">
        <v>72</v>
      </c>
      <c r="M15" s="2" t="s">
        <v>69</v>
      </c>
      <c r="N15" t="s">
        <v>50</v>
      </c>
      <c r="O15" t="s">
        <v>50</v>
      </c>
    </row>
    <row r="16" spans="2:15">
      <c r="B16" s="2" t="s">
        <v>67</v>
      </c>
      <c r="C16" s="2" t="s">
        <v>243</v>
      </c>
      <c r="D16" s="2">
        <v>300102029</v>
      </c>
      <c r="E16" s="2">
        <v>184.5</v>
      </c>
      <c r="F16" s="2" t="s">
        <v>14</v>
      </c>
      <c r="G16" s="59">
        <v>46225</v>
      </c>
      <c r="H16" s="2" t="s">
        <v>244</v>
      </c>
      <c r="I16"/>
      <c r="J16" s="2" t="s">
        <v>48</v>
      </c>
      <c r="K16" s="2" t="s">
        <v>37</v>
      </c>
      <c r="L16" s="2" t="s">
        <v>72</v>
      </c>
      <c r="M16" s="2" t="s">
        <v>69</v>
      </c>
      <c r="N16" t="s">
        <v>50</v>
      </c>
      <c r="O16" t="s">
        <v>50</v>
      </c>
    </row>
    <row r="17" spans="2:15">
      <c r="B17" s="2" t="s">
        <v>73</v>
      </c>
      <c r="C17" s="2" t="s">
        <v>220</v>
      </c>
      <c r="D17" s="2">
        <v>2400007887</v>
      </c>
      <c r="E17" s="2">
        <v>172.5</v>
      </c>
      <c r="F17" s="2" t="s">
        <v>14</v>
      </c>
      <c r="G17" s="59">
        <v>46169</v>
      </c>
      <c r="H17" s="2" t="s">
        <v>167</v>
      </c>
      <c r="I17"/>
      <c r="J17" s="2" t="s">
        <v>48</v>
      </c>
      <c r="K17" s="2" t="s">
        <v>37</v>
      </c>
      <c r="L17" s="2" t="s">
        <v>72</v>
      </c>
      <c r="M17" s="2" t="s">
        <v>69</v>
      </c>
      <c r="N17" t="s">
        <v>50</v>
      </c>
      <c r="O17" t="s">
        <v>50</v>
      </c>
    </row>
    <row r="18" spans="2:15">
      <c r="B18" s="2" t="s">
        <v>67</v>
      </c>
      <c r="C18" s="2" t="s">
        <v>229</v>
      </c>
      <c r="D18" s="2">
        <v>2400008019</v>
      </c>
      <c r="E18" s="2">
        <v>92</v>
      </c>
      <c r="F18" s="2" t="s">
        <v>14</v>
      </c>
      <c r="G18" s="59">
        <v>46178</v>
      </c>
      <c r="H18" s="2" t="s">
        <v>167</v>
      </c>
      <c r="I18"/>
      <c r="J18" s="2" t="s">
        <v>48</v>
      </c>
      <c r="K18" s="2" t="s">
        <v>37</v>
      </c>
      <c r="L18" s="2" t="s">
        <v>72</v>
      </c>
      <c r="M18" s="2" t="s">
        <v>69</v>
      </c>
      <c r="N18" t="s">
        <v>50</v>
      </c>
      <c r="O18" t="s">
        <v>50</v>
      </c>
    </row>
    <row r="19" spans="2:15">
      <c r="B19" s="2" t="s">
        <v>73</v>
      </c>
      <c r="C19" s="2" t="s">
        <v>358</v>
      </c>
      <c r="D19" s="2">
        <v>2400008094</v>
      </c>
      <c r="E19" s="2">
        <v>67.5</v>
      </c>
      <c r="F19" s="2" t="s">
        <v>14</v>
      </c>
      <c r="G19" s="59">
        <v>46293</v>
      </c>
      <c r="H19" s="2" t="s">
        <v>344</v>
      </c>
      <c r="I19"/>
      <c r="J19" s="2" t="s">
        <v>48</v>
      </c>
      <c r="K19" s="2" t="s">
        <v>37</v>
      </c>
      <c r="L19" s="2" t="s">
        <v>72</v>
      </c>
      <c r="M19" s="2" t="s">
        <v>69</v>
      </c>
      <c r="N19" t="s">
        <v>50</v>
      </c>
      <c r="O19" t="s">
        <v>50</v>
      </c>
    </row>
    <row r="20" spans="2:15">
      <c r="B20" s="2" t="s">
        <v>338</v>
      </c>
      <c r="C20" s="2" t="s">
        <v>336</v>
      </c>
      <c r="D20" s="2">
        <v>300102378</v>
      </c>
      <c r="E20" s="2">
        <v>67.5</v>
      </c>
      <c r="F20" s="2" t="s">
        <v>14</v>
      </c>
      <c r="G20" s="59">
        <v>46295</v>
      </c>
      <c r="H20" s="2" t="s">
        <v>335</v>
      </c>
      <c r="I20"/>
      <c r="J20" s="2" t="s">
        <v>48</v>
      </c>
      <c r="K20" s="2" t="s">
        <v>37</v>
      </c>
      <c r="L20" s="2" t="s">
        <v>72</v>
      </c>
      <c r="M20" s="2" t="s">
        <v>69</v>
      </c>
      <c r="N20" t="s">
        <v>50</v>
      </c>
      <c r="O20" t="s">
        <v>50</v>
      </c>
    </row>
    <row r="21" spans="2:15">
      <c r="B21" s="2" t="s">
        <v>338</v>
      </c>
      <c r="C21" s="2" t="s">
        <v>334</v>
      </c>
      <c r="D21" s="2">
        <v>300102375</v>
      </c>
      <c r="E21" s="2">
        <v>36</v>
      </c>
      <c r="F21" s="2" t="s">
        <v>14</v>
      </c>
      <c r="G21" s="59">
        <v>46295</v>
      </c>
      <c r="H21" s="2" t="s">
        <v>335</v>
      </c>
      <c r="I21"/>
      <c r="J21" s="2" t="s">
        <v>48</v>
      </c>
      <c r="K21" s="2" t="s">
        <v>37</v>
      </c>
      <c r="L21" s="2" t="s">
        <v>72</v>
      </c>
      <c r="M21" s="2" t="s">
        <v>69</v>
      </c>
      <c r="N21" t="s">
        <v>50</v>
      </c>
      <c r="O21" t="s">
        <v>50</v>
      </c>
    </row>
    <row r="22" spans="2:15">
      <c r="B22" s="2" t="s">
        <v>338</v>
      </c>
      <c r="C22" s="2" t="s">
        <v>337</v>
      </c>
      <c r="D22" s="2">
        <v>300102379</v>
      </c>
      <c r="E22" s="2">
        <v>25</v>
      </c>
      <c r="F22" s="2" t="s">
        <v>14</v>
      </c>
      <c r="G22" s="59">
        <v>46295</v>
      </c>
      <c r="H22" s="2" t="s">
        <v>335</v>
      </c>
      <c r="I22"/>
      <c r="J22" s="2" t="s">
        <v>48</v>
      </c>
      <c r="K22" s="2" t="s">
        <v>37</v>
      </c>
      <c r="L22" s="2" t="s">
        <v>72</v>
      </c>
      <c r="M22" s="2" t="s">
        <v>69</v>
      </c>
      <c r="N22" t="s">
        <v>50</v>
      </c>
      <c r="O22" t="s">
        <v>50</v>
      </c>
    </row>
    <row r="23" spans="2:15">
      <c r="B23" s="2" t="s">
        <v>73</v>
      </c>
      <c r="C23" s="2" t="s">
        <v>249</v>
      </c>
      <c r="D23" s="2">
        <v>300102184</v>
      </c>
      <c r="E23" s="2">
        <v>20</v>
      </c>
      <c r="F23" s="2" t="s">
        <v>14</v>
      </c>
      <c r="G23" s="59">
        <v>46265</v>
      </c>
      <c r="H23" s="2" t="s">
        <v>248</v>
      </c>
      <c r="I23"/>
      <c r="J23" s="2" t="s">
        <v>48</v>
      </c>
      <c r="K23" s="2" t="s">
        <v>37</v>
      </c>
      <c r="L23" s="2" t="s">
        <v>72</v>
      </c>
      <c r="M23" s="2" t="s">
        <v>69</v>
      </c>
      <c r="N23" t="s">
        <v>50</v>
      </c>
      <c r="O23" t="s">
        <v>50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7578-53F2-48EF-A252-7A259D1D8AFB}">
  <dimension ref="A1:N2"/>
  <sheetViews>
    <sheetView workbookViewId="0">
      <selection activeCell="C9" sqref="C9"/>
    </sheetView>
  </sheetViews>
  <sheetFormatPr baseColWidth="10" defaultColWidth="9" defaultRowHeight="15"/>
  <cols>
    <col min="1" max="1" width="6.6640625" style="2" bestFit="1" customWidth="1"/>
    <col min="2" max="2" width="20.5" style="2" bestFit="1" customWidth="1"/>
    <col min="3" max="3" width="12.1640625" style="2" bestFit="1" customWidth="1"/>
    <col min="4" max="4" width="12.6640625" style="2" bestFit="1" customWidth="1"/>
    <col min="5" max="5" width="7.1640625" style="2" bestFit="1" customWidth="1"/>
    <col min="6" max="6" width="26.33203125" style="59" bestFit="1" customWidth="1"/>
    <col min="7" max="7" width="8.1640625" style="2" bestFit="1" customWidth="1"/>
    <col min="8" max="8" width="9" style="2" bestFit="1" customWidth="1"/>
    <col min="9" max="9" width="11.1640625" style="2" bestFit="1" customWidth="1"/>
    <col min="10" max="10" width="12.6640625" style="2" bestFit="1" customWidth="1"/>
    <col min="11" max="11" width="10.6640625" style="2" bestFit="1" customWidth="1"/>
    <col min="12" max="12" width="12.83203125" style="2" bestFit="1" customWidth="1"/>
    <col min="13" max="13" width="7.5" style="2" bestFit="1" customWidth="1"/>
    <col min="14" max="14" width="10.1640625" style="2" bestFit="1" customWidth="1"/>
    <col min="15" max="16384" width="9" style="2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9" t="s">
        <v>5</v>
      </c>
      <c r="G1" s="2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</row>
    <row r="2" spans="1:14">
      <c r="H2"/>
      <c r="M2"/>
      <c r="N2"/>
    </row>
  </sheetData>
  <phoneticPr fontId="2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ED33-A29F-4F52-8055-294FC4BBA842}">
  <dimension ref="A1:C32"/>
  <sheetViews>
    <sheetView workbookViewId="0">
      <selection activeCell="B19" sqref="B19"/>
    </sheetView>
  </sheetViews>
  <sheetFormatPr baseColWidth="10" defaultColWidth="8.83203125" defaultRowHeight="15"/>
  <cols>
    <col min="1" max="1" width="14.33203125" customWidth="1"/>
    <col min="2" max="2" width="23.33203125" customWidth="1"/>
    <col min="3" max="3" width="18.1640625" customWidth="1"/>
  </cols>
  <sheetData>
    <row r="1" spans="1:3">
      <c r="A1" s="58" t="s">
        <v>75</v>
      </c>
      <c r="B1" s="57" t="s">
        <v>10</v>
      </c>
      <c r="C1" s="57" t="s">
        <v>11</v>
      </c>
    </row>
    <row r="2" spans="1:3">
      <c r="A2" t="s">
        <v>43</v>
      </c>
      <c r="B2" t="s">
        <v>56</v>
      </c>
      <c r="C2" t="s">
        <v>57</v>
      </c>
    </row>
    <row r="3" spans="1:3">
      <c r="A3" t="s">
        <v>40</v>
      </c>
      <c r="B3" t="s">
        <v>62</v>
      </c>
      <c r="C3" t="s">
        <v>57</v>
      </c>
    </row>
    <row r="4" spans="1:3">
      <c r="A4" t="s">
        <v>44</v>
      </c>
      <c r="B4" t="s">
        <v>65</v>
      </c>
      <c r="C4" t="s">
        <v>57</v>
      </c>
    </row>
    <row r="5" spans="1:3">
      <c r="A5" t="s">
        <v>76</v>
      </c>
      <c r="B5" t="s">
        <v>77</v>
      </c>
      <c r="C5" t="s">
        <v>57</v>
      </c>
    </row>
    <row r="6" spans="1:3">
      <c r="A6" t="s">
        <v>39</v>
      </c>
      <c r="B6" t="s">
        <v>59</v>
      </c>
      <c r="C6" t="s">
        <v>57</v>
      </c>
    </row>
    <row r="7" spans="1:3">
      <c r="A7" t="s">
        <v>38</v>
      </c>
      <c r="B7" t="s">
        <v>64</v>
      </c>
      <c r="C7" t="s">
        <v>57</v>
      </c>
    </row>
    <row r="8" spans="1:3">
      <c r="A8" t="s">
        <v>46</v>
      </c>
      <c r="B8" t="s">
        <v>66</v>
      </c>
      <c r="C8" t="s">
        <v>57</v>
      </c>
    </row>
    <row r="9" spans="1:3" ht="16" thickBot="1">
      <c r="A9" s="24" t="s">
        <v>78</v>
      </c>
      <c r="B9" s="24" t="s">
        <v>79</v>
      </c>
      <c r="C9" s="24" t="s">
        <v>57</v>
      </c>
    </row>
    <row r="10" spans="1:3">
      <c r="A10" t="s">
        <v>41</v>
      </c>
      <c r="B10" t="s">
        <v>68</v>
      </c>
      <c r="C10" t="s">
        <v>69</v>
      </c>
    </row>
    <row r="11" spans="1:3">
      <c r="A11" t="s">
        <v>42</v>
      </c>
      <c r="B11" t="s">
        <v>71</v>
      </c>
      <c r="C11" t="s">
        <v>69</v>
      </c>
    </row>
    <row r="12" spans="1:3">
      <c r="A12" t="s">
        <v>45</v>
      </c>
      <c r="B12" t="s">
        <v>74</v>
      </c>
      <c r="C12" t="s">
        <v>69</v>
      </c>
    </row>
    <row r="13" spans="1:3" ht="16" thickBot="1">
      <c r="A13" s="24" t="s">
        <v>37</v>
      </c>
      <c r="B13" s="24" t="s">
        <v>72</v>
      </c>
      <c r="C13" s="24" t="s">
        <v>69</v>
      </c>
    </row>
    <row r="14" spans="1:3">
      <c r="A14" t="s">
        <v>80</v>
      </c>
      <c r="B14" t="s">
        <v>81</v>
      </c>
      <c r="C14" t="s">
        <v>82</v>
      </c>
    </row>
    <row r="15" spans="1:3">
      <c r="A15" t="s">
        <v>83</v>
      </c>
      <c r="B15" t="s">
        <v>84</v>
      </c>
      <c r="C15" t="s">
        <v>82</v>
      </c>
    </row>
    <row r="16" spans="1:3" ht="16" thickBot="1">
      <c r="A16" s="24" t="s">
        <v>85</v>
      </c>
      <c r="B16" s="24" t="s">
        <v>86</v>
      </c>
      <c r="C16" s="24" t="s">
        <v>82</v>
      </c>
    </row>
    <row r="17" spans="1:3">
      <c r="A17" t="s">
        <v>87</v>
      </c>
      <c r="B17" t="s">
        <v>88</v>
      </c>
      <c r="C17" t="s">
        <v>89</v>
      </c>
    </row>
    <row r="18" spans="1:3">
      <c r="A18" t="s">
        <v>90</v>
      </c>
      <c r="B18" t="s">
        <v>91</v>
      </c>
      <c r="C18" t="s">
        <v>89</v>
      </c>
    </row>
    <row r="19" spans="1:3">
      <c r="A19" t="s">
        <v>92</v>
      </c>
      <c r="B19" t="s">
        <v>93</v>
      </c>
      <c r="C19" t="s">
        <v>89</v>
      </c>
    </row>
    <row r="20" spans="1:3">
      <c r="A20" t="s">
        <v>94</v>
      </c>
      <c r="B20" t="s">
        <v>93</v>
      </c>
      <c r="C20" t="s">
        <v>89</v>
      </c>
    </row>
    <row r="21" spans="1:3" ht="16" thickBot="1">
      <c r="A21" s="24" t="s">
        <v>95</v>
      </c>
      <c r="B21" s="24" t="s">
        <v>96</v>
      </c>
      <c r="C21" s="24" t="s">
        <v>89</v>
      </c>
    </row>
    <row r="22" spans="1:3">
      <c r="A22" t="s">
        <v>36</v>
      </c>
      <c r="B22" t="s">
        <v>49</v>
      </c>
      <c r="C22" t="s">
        <v>49</v>
      </c>
    </row>
    <row r="23" spans="1:3">
      <c r="A23" t="s">
        <v>97</v>
      </c>
      <c r="B23" t="s">
        <v>98</v>
      </c>
      <c r="C23" t="s">
        <v>49</v>
      </c>
    </row>
    <row r="24" spans="1:3">
      <c r="A24" t="s">
        <v>99</v>
      </c>
      <c r="B24" t="s">
        <v>100</v>
      </c>
      <c r="C24" t="s">
        <v>49</v>
      </c>
    </row>
    <row r="25" spans="1:3">
      <c r="A25" t="s">
        <v>101</v>
      </c>
      <c r="B25" t="s">
        <v>102</v>
      </c>
      <c r="C25" t="s">
        <v>49</v>
      </c>
    </row>
    <row r="26" spans="1:3">
      <c r="A26" t="s">
        <v>103</v>
      </c>
      <c r="B26" t="s">
        <v>104</v>
      </c>
      <c r="C26" t="s">
        <v>49</v>
      </c>
    </row>
    <row r="27" spans="1:3" ht="16" thickBot="1">
      <c r="A27" s="24" t="s">
        <v>105</v>
      </c>
      <c r="B27" s="24" t="s">
        <v>106</v>
      </c>
      <c r="C27" s="24" t="s">
        <v>49</v>
      </c>
    </row>
    <row r="28" spans="1:3">
      <c r="A28" t="s">
        <v>107</v>
      </c>
      <c r="B28" t="s">
        <v>108</v>
      </c>
      <c r="C28" t="s">
        <v>109</v>
      </c>
    </row>
    <row r="29" spans="1:3">
      <c r="A29" t="s">
        <v>110</v>
      </c>
      <c r="B29" t="s">
        <v>111</v>
      </c>
      <c r="C29" t="s">
        <v>109</v>
      </c>
    </row>
    <row r="30" spans="1:3">
      <c r="A30" t="s">
        <v>112</v>
      </c>
      <c r="B30" t="s">
        <v>113</v>
      </c>
      <c r="C30" t="s">
        <v>109</v>
      </c>
    </row>
    <row r="31" spans="1:3">
      <c r="A31" t="s">
        <v>114</v>
      </c>
      <c r="B31" t="s">
        <v>115</v>
      </c>
      <c r="C31" t="s">
        <v>109</v>
      </c>
    </row>
    <row r="32" spans="1:3">
      <c r="A32" t="s">
        <v>116</v>
      </c>
      <c r="B32" t="s">
        <v>117</v>
      </c>
      <c r="C32" t="s">
        <v>109</v>
      </c>
    </row>
  </sheetData>
  <phoneticPr fontId="2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31F8-A9C8-46B1-91A6-9FF025AE1493}">
  <sheetPr codeName="Sheet3"/>
  <dimension ref="A1:T46"/>
  <sheetViews>
    <sheetView topLeftCell="A16" workbookViewId="0">
      <selection activeCell="B8" sqref="B8"/>
    </sheetView>
  </sheetViews>
  <sheetFormatPr baseColWidth="10" defaultColWidth="8.83203125" defaultRowHeight="15"/>
  <cols>
    <col min="1" max="1" width="15" customWidth="1"/>
    <col min="2" max="2" width="15.33203125" customWidth="1"/>
    <col min="3" max="3" width="12.1640625" customWidth="1"/>
    <col min="14" max="14" width="12.1640625" customWidth="1"/>
    <col min="15" max="15" width="14.83203125" customWidth="1"/>
    <col min="16" max="16" width="11.33203125" customWidth="1"/>
    <col min="18" max="18" width="18.1640625" customWidth="1"/>
  </cols>
  <sheetData>
    <row r="1" spans="1:3">
      <c r="A1" s="102" t="s">
        <v>118</v>
      </c>
      <c r="B1" s="100"/>
      <c r="C1" s="101"/>
    </row>
    <row r="2" spans="1:3">
      <c r="A2" s="18" t="s">
        <v>119</v>
      </c>
      <c r="B2" s="19" t="s">
        <v>120</v>
      </c>
      <c r="C2" s="20" t="s">
        <v>121</v>
      </c>
    </row>
    <row r="3" spans="1:3">
      <c r="A3" t="s">
        <v>84</v>
      </c>
      <c r="B3">
        <v>225</v>
      </c>
      <c r="C3">
        <v>0.75</v>
      </c>
    </row>
    <row r="4" spans="1:3">
      <c r="A4" t="s">
        <v>86</v>
      </c>
      <c r="B4">
        <v>80</v>
      </c>
      <c r="C4">
        <v>0.25</v>
      </c>
    </row>
    <row r="5" spans="1:3">
      <c r="A5" t="s">
        <v>81</v>
      </c>
      <c r="B5">
        <v>1500</v>
      </c>
      <c r="C5">
        <v>0.25</v>
      </c>
    </row>
    <row r="6" spans="1:3">
      <c r="A6" t="s">
        <v>88</v>
      </c>
      <c r="B6">
        <v>150</v>
      </c>
      <c r="C6">
        <v>0.5</v>
      </c>
    </row>
    <row r="7" spans="1:3">
      <c r="A7" t="s">
        <v>91</v>
      </c>
      <c r="B7">
        <v>150</v>
      </c>
      <c r="C7">
        <v>0.5</v>
      </c>
    </row>
    <row r="8" spans="1:3">
      <c r="A8" t="s">
        <v>96</v>
      </c>
      <c r="B8">
        <v>1500</v>
      </c>
      <c r="C8">
        <v>0.5</v>
      </c>
    </row>
    <row r="9" spans="1:3">
      <c r="A9" t="s">
        <v>93</v>
      </c>
      <c r="B9">
        <v>30</v>
      </c>
      <c r="C9">
        <v>0.25</v>
      </c>
    </row>
    <row r="11" spans="1:3">
      <c r="A11" s="102" t="s">
        <v>122</v>
      </c>
      <c r="B11" s="100"/>
      <c r="C11" s="101"/>
    </row>
    <row r="12" spans="1:3">
      <c r="A12" s="15" t="s">
        <v>119</v>
      </c>
      <c r="B12" s="16" t="s">
        <v>123</v>
      </c>
      <c r="C12" s="17" t="s">
        <v>121</v>
      </c>
    </row>
    <row r="13" spans="1:3">
      <c r="A13" t="s">
        <v>124</v>
      </c>
      <c r="B13">
        <v>0</v>
      </c>
      <c r="C13">
        <v>0</v>
      </c>
    </row>
    <row r="14" spans="1:3">
      <c r="A14" t="s">
        <v>125</v>
      </c>
    </row>
    <row r="15" spans="1:3">
      <c r="A15" t="s">
        <v>126</v>
      </c>
    </row>
    <row r="18" spans="1:20" ht="16" thickBot="1"/>
    <row r="19" spans="1:20" ht="36" thickBot="1">
      <c r="N19" s="103" t="s">
        <v>127</v>
      </c>
      <c r="O19" s="104"/>
      <c r="P19" s="104"/>
      <c r="Q19" s="104"/>
      <c r="R19" s="104"/>
      <c r="S19" s="104"/>
      <c r="T19" s="105"/>
    </row>
    <row r="20" spans="1:20">
      <c r="A20" s="102" t="s">
        <v>128</v>
      </c>
      <c r="B20" s="100"/>
      <c r="C20" s="100"/>
      <c r="D20" s="100"/>
      <c r="E20" s="100"/>
      <c r="F20" s="101"/>
      <c r="N20" s="106" t="s">
        <v>129</v>
      </c>
      <c r="O20" s="107"/>
      <c r="P20" s="31"/>
      <c r="Q20" s="32"/>
      <c r="T20" s="28"/>
    </row>
    <row r="21" spans="1:20">
      <c r="A21" s="15" t="s">
        <v>130</v>
      </c>
      <c r="B21" s="16" t="s">
        <v>131</v>
      </c>
      <c r="C21" s="16" t="s">
        <v>132</v>
      </c>
      <c r="D21" s="16" t="s">
        <v>133</v>
      </c>
      <c r="E21" s="16" t="s">
        <v>134</v>
      </c>
      <c r="F21" s="17" t="s">
        <v>135</v>
      </c>
      <c r="N21" s="26" t="s">
        <v>130</v>
      </c>
      <c r="O21" s="22" t="s">
        <v>136</v>
      </c>
      <c r="P21" s="31"/>
      <c r="Q21" s="31"/>
      <c r="R21" s="14"/>
      <c r="S21" s="14"/>
      <c r="T21" s="23"/>
    </row>
    <row r="22" spans="1:20">
      <c r="A22" s="40" t="s">
        <v>53</v>
      </c>
      <c r="B22">
        <f>30*60</f>
        <v>1800</v>
      </c>
      <c r="D22">
        <f t="shared" ref="D22:D27" si="0">6*60</f>
        <v>360</v>
      </c>
      <c r="E22">
        <f t="shared" ref="E22:E27" si="1">3*60</f>
        <v>180</v>
      </c>
      <c r="F22" s="41">
        <v>60</v>
      </c>
      <c r="N22" s="27" t="s">
        <v>137</v>
      </c>
      <c r="O22" s="23">
        <v>400</v>
      </c>
      <c r="P22" s="14"/>
      <c r="Q22" s="14"/>
      <c r="T22" s="28"/>
    </row>
    <row r="23" spans="1:20">
      <c r="A23" s="40" t="s">
        <v>138</v>
      </c>
      <c r="B23">
        <f t="shared" ref="B23:B27" si="2">30*60</f>
        <v>1800</v>
      </c>
      <c r="D23">
        <f t="shared" si="0"/>
        <v>360</v>
      </c>
      <c r="E23">
        <f t="shared" si="1"/>
        <v>180</v>
      </c>
      <c r="F23" s="41">
        <v>60</v>
      </c>
      <c r="N23" s="27" t="s">
        <v>139</v>
      </c>
      <c r="O23" s="23">
        <v>500</v>
      </c>
      <c r="P23" s="14"/>
      <c r="Q23" s="14"/>
      <c r="T23" s="28"/>
    </row>
    <row r="24" spans="1:20">
      <c r="A24" s="40" t="s">
        <v>51</v>
      </c>
      <c r="B24">
        <f t="shared" si="2"/>
        <v>1800</v>
      </c>
      <c r="D24">
        <f t="shared" si="0"/>
        <v>360</v>
      </c>
      <c r="E24">
        <f t="shared" si="1"/>
        <v>180</v>
      </c>
      <c r="F24" s="41">
        <v>60</v>
      </c>
      <c r="N24" s="27" t="s">
        <v>140</v>
      </c>
      <c r="O24" s="23">
        <v>100</v>
      </c>
      <c r="P24" s="14"/>
      <c r="Q24" s="14"/>
      <c r="T24" s="28"/>
    </row>
    <row r="25" spans="1:20">
      <c r="A25" s="40" t="s">
        <v>141</v>
      </c>
      <c r="B25">
        <f t="shared" si="2"/>
        <v>1800</v>
      </c>
      <c r="D25">
        <f t="shared" si="0"/>
        <v>360</v>
      </c>
      <c r="E25">
        <f t="shared" si="1"/>
        <v>180</v>
      </c>
      <c r="F25" s="41">
        <v>60</v>
      </c>
      <c r="I25" s="99" t="s">
        <v>142</v>
      </c>
      <c r="J25" s="99"/>
      <c r="K25" s="99"/>
      <c r="L25" s="99"/>
      <c r="N25" s="27" t="s">
        <v>143</v>
      </c>
      <c r="O25" s="23">
        <v>90</v>
      </c>
      <c r="P25" s="14"/>
      <c r="Q25" s="14"/>
      <c r="T25" s="28"/>
    </row>
    <row r="26" spans="1:20">
      <c r="A26" s="40" t="s">
        <v>144</v>
      </c>
      <c r="B26">
        <f t="shared" si="2"/>
        <v>1800</v>
      </c>
      <c r="D26">
        <f t="shared" si="0"/>
        <v>360</v>
      </c>
      <c r="E26">
        <f t="shared" si="1"/>
        <v>180</v>
      </c>
      <c r="F26" s="41">
        <v>60</v>
      </c>
      <c r="N26" s="27" t="s">
        <v>145</v>
      </c>
      <c r="O26" s="23">
        <v>67</v>
      </c>
      <c r="P26" s="14"/>
      <c r="Q26" s="14"/>
      <c r="T26" s="28"/>
    </row>
    <row r="27" spans="1:20">
      <c r="A27" s="40" t="s">
        <v>63</v>
      </c>
      <c r="B27">
        <f t="shared" si="2"/>
        <v>1800</v>
      </c>
      <c r="D27">
        <f t="shared" si="0"/>
        <v>360</v>
      </c>
      <c r="E27">
        <f t="shared" si="1"/>
        <v>180</v>
      </c>
      <c r="F27" s="41">
        <v>60</v>
      </c>
      <c r="N27" s="27" t="s">
        <v>146</v>
      </c>
      <c r="O27" s="23" t="s">
        <v>147</v>
      </c>
      <c r="P27" s="14"/>
      <c r="Q27" s="14"/>
      <c r="T27" s="28"/>
    </row>
    <row r="28" spans="1:20">
      <c r="A28" s="40" t="s">
        <v>148</v>
      </c>
      <c r="B28">
        <f>20*60</f>
        <v>1200</v>
      </c>
      <c r="D28">
        <f>15*60</f>
        <v>900</v>
      </c>
      <c r="E28">
        <f>8*60</f>
        <v>480</v>
      </c>
      <c r="F28" s="41">
        <v>180</v>
      </c>
      <c r="N28" s="27"/>
      <c r="O28" s="23"/>
      <c r="P28" s="14"/>
      <c r="Q28" s="14"/>
      <c r="T28" s="28"/>
    </row>
    <row r="29" spans="1:20" ht="16" thickBot="1">
      <c r="A29" s="40" t="s">
        <v>47</v>
      </c>
      <c r="B29">
        <f t="shared" ref="B29:B31" si="3">20*60</f>
        <v>1200</v>
      </c>
      <c r="D29">
        <f>15*60</f>
        <v>900</v>
      </c>
      <c r="E29">
        <f>8*60</f>
        <v>480</v>
      </c>
      <c r="F29" s="41">
        <v>180</v>
      </c>
      <c r="N29" s="29"/>
      <c r="O29" s="25"/>
      <c r="P29" s="33"/>
      <c r="Q29" s="33"/>
      <c r="R29" s="24"/>
      <c r="S29" s="24"/>
      <c r="T29" s="30"/>
    </row>
    <row r="30" spans="1:20">
      <c r="A30" s="40" t="s">
        <v>58</v>
      </c>
      <c r="B30">
        <f t="shared" si="3"/>
        <v>1200</v>
      </c>
      <c r="D30">
        <f>15*60</f>
        <v>900</v>
      </c>
      <c r="E30">
        <f>8*60</f>
        <v>480</v>
      </c>
      <c r="F30" s="41">
        <v>180</v>
      </c>
      <c r="N30" s="96" t="s">
        <v>149</v>
      </c>
      <c r="O30" s="97"/>
      <c r="P30" s="97"/>
      <c r="Q30" s="97"/>
      <c r="R30" s="97"/>
      <c r="S30" s="98"/>
      <c r="T30" s="21"/>
    </row>
    <row r="31" spans="1:20">
      <c r="A31" s="40" t="s">
        <v>150</v>
      </c>
      <c r="B31">
        <f t="shared" si="3"/>
        <v>1200</v>
      </c>
      <c r="D31">
        <f>15*60</f>
        <v>900</v>
      </c>
      <c r="E31">
        <f>8*60</f>
        <v>480</v>
      </c>
      <c r="F31" s="41">
        <v>180</v>
      </c>
      <c r="N31" s="26" t="s">
        <v>130</v>
      </c>
      <c r="O31" s="35" t="s">
        <v>151</v>
      </c>
      <c r="P31" s="16" t="s">
        <v>152</v>
      </c>
      <c r="Q31" s="16" t="s">
        <v>153</v>
      </c>
      <c r="R31" s="16" t="s">
        <v>154</v>
      </c>
      <c r="S31" s="22" t="s">
        <v>155</v>
      </c>
      <c r="T31" s="21"/>
    </row>
    <row r="32" spans="1:20">
      <c r="A32" s="40" t="s">
        <v>55</v>
      </c>
      <c r="B32">
        <f>6*60</f>
        <v>360</v>
      </c>
      <c r="D32">
        <f>2*60</f>
        <v>120</v>
      </c>
      <c r="E32">
        <v>60</v>
      </c>
      <c r="F32" s="41"/>
      <c r="N32" s="27" t="s">
        <v>156</v>
      </c>
      <c r="O32" s="36">
        <v>20</v>
      </c>
      <c r="P32" s="14">
        <v>12</v>
      </c>
      <c r="Q32" s="14">
        <v>6</v>
      </c>
      <c r="R32" s="14">
        <v>3</v>
      </c>
      <c r="S32" s="23">
        <v>1</v>
      </c>
      <c r="T32" s="21"/>
    </row>
    <row r="33" spans="1:20">
      <c r="A33" s="40" t="s">
        <v>157</v>
      </c>
      <c r="B33">
        <f>6*60</f>
        <v>360</v>
      </c>
      <c r="D33">
        <f>2*60</f>
        <v>120</v>
      </c>
      <c r="E33">
        <v>60</v>
      </c>
      <c r="F33" s="41"/>
      <c r="N33" s="27" t="s">
        <v>143</v>
      </c>
      <c r="O33" s="36">
        <v>20</v>
      </c>
      <c r="P33" s="14">
        <v>12</v>
      </c>
      <c r="Q33" s="14">
        <v>6</v>
      </c>
      <c r="R33" s="14">
        <v>3</v>
      </c>
      <c r="S33" s="23">
        <v>1</v>
      </c>
      <c r="T33" s="21"/>
    </row>
    <row r="34" spans="1:20">
      <c r="A34" s="40" t="s">
        <v>67</v>
      </c>
      <c r="B34">
        <f>6*60</f>
        <v>360</v>
      </c>
      <c r="C34">
        <f>3*60</f>
        <v>180</v>
      </c>
      <c r="D34">
        <f>2*60</f>
        <v>120</v>
      </c>
      <c r="E34">
        <v>60</v>
      </c>
      <c r="F34" s="41"/>
      <c r="N34" s="27" t="s">
        <v>139</v>
      </c>
      <c r="O34" s="36">
        <v>38</v>
      </c>
      <c r="P34" s="14">
        <v>25</v>
      </c>
      <c r="Q34" s="14">
        <v>15</v>
      </c>
      <c r="R34" s="14">
        <v>8</v>
      </c>
      <c r="S34" s="23">
        <v>3</v>
      </c>
      <c r="T34" s="21"/>
    </row>
    <row r="35" spans="1:20">
      <c r="A35" s="40" t="s">
        <v>73</v>
      </c>
      <c r="B35">
        <f>6*60</f>
        <v>360</v>
      </c>
      <c r="C35">
        <f>3*60</f>
        <v>180</v>
      </c>
      <c r="D35">
        <f>2*60</f>
        <v>120</v>
      </c>
      <c r="E35">
        <v>60</v>
      </c>
      <c r="F35" s="41"/>
      <c r="N35" s="27" t="s">
        <v>137</v>
      </c>
      <c r="O35" s="36">
        <v>38</v>
      </c>
      <c r="P35" s="14">
        <v>25</v>
      </c>
      <c r="Q35" s="14">
        <v>15</v>
      </c>
      <c r="R35" s="14">
        <v>8</v>
      </c>
      <c r="S35" s="23">
        <v>3</v>
      </c>
      <c r="T35" s="21"/>
    </row>
    <row r="36" spans="1:20">
      <c r="A36" s="40" t="s">
        <v>52</v>
      </c>
      <c r="B36">
        <f>30*60</f>
        <v>1800</v>
      </c>
      <c r="D36">
        <f t="shared" ref="D36:D41" si="4">6*60</f>
        <v>360</v>
      </c>
      <c r="E36">
        <f t="shared" ref="E36:E41" si="5">3*60</f>
        <v>180</v>
      </c>
      <c r="F36" s="41">
        <v>180</v>
      </c>
      <c r="N36" s="27" t="s">
        <v>158</v>
      </c>
      <c r="O36" s="36">
        <v>38</v>
      </c>
      <c r="P36" s="14">
        <v>25</v>
      </c>
      <c r="Q36" s="14">
        <v>15</v>
      </c>
      <c r="R36" s="14">
        <v>8</v>
      </c>
      <c r="S36" s="23">
        <v>3</v>
      </c>
      <c r="T36" s="21"/>
    </row>
    <row r="37" spans="1:20">
      <c r="A37" s="40" t="s">
        <v>61</v>
      </c>
      <c r="B37">
        <f>30*60</f>
        <v>1800</v>
      </c>
      <c r="D37">
        <f t="shared" si="4"/>
        <v>360</v>
      </c>
      <c r="E37">
        <f t="shared" si="5"/>
        <v>180</v>
      </c>
      <c r="F37" s="41">
        <v>180</v>
      </c>
      <c r="N37" s="27" t="s">
        <v>140</v>
      </c>
      <c r="O37" s="36">
        <v>20</v>
      </c>
      <c r="P37" s="14">
        <v>12</v>
      </c>
      <c r="Q37" s="14">
        <v>6</v>
      </c>
      <c r="R37" s="14">
        <v>3</v>
      </c>
      <c r="S37" s="23">
        <v>1</v>
      </c>
      <c r="T37" s="21"/>
    </row>
    <row r="38" spans="1:20">
      <c r="A38" s="40" t="s">
        <v>60</v>
      </c>
      <c r="B38">
        <f>20*60</f>
        <v>1200</v>
      </c>
      <c r="D38">
        <f t="shared" si="4"/>
        <v>360</v>
      </c>
      <c r="E38">
        <f t="shared" si="5"/>
        <v>180</v>
      </c>
      <c r="F38" s="41">
        <v>180</v>
      </c>
      <c r="N38" s="27" t="s">
        <v>159</v>
      </c>
      <c r="O38" s="36" t="s">
        <v>147</v>
      </c>
      <c r="P38" s="14" t="s">
        <v>147</v>
      </c>
      <c r="Q38" s="14" t="s">
        <v>147</v>
      </c>
      <c r="R38" s="14" t="s">
        <v>147</v>
      </c>
      <c r="S38" s="23" t="s">
        <v>147</v>
      </c>
      <c r="T38" s="21"/>
    </row>
    <row r="39" spans="1:20">
      <c r="A39" s="40" t="s">
        <v>160</v>
      </c>
      <c r="B39">
        <f>20*60</f>
        <v>1200</v>
      </c>
      <c r="D39">
        <f t="shared" si="4"/>
        <v>360</v>
      </c>
      <c r="E39">
        <f t="shared" si="5"/>
        <v>180</v>
      </c>
      <c r="F39" s="41">
        <v>180</v>
      </c>
      <c r="N39" s="27" t="s">
        <v>146</v>
      </c>
      <c r="O39" s="36" t="s">
        <v>147</v>
      </c>
      <c r="P39" s="14" t="s">
        <v>147</v>
      </c>
      <c r="Q39" s="14" t="s">
        <v>147</v>
      </c>
      <c r="R39" s="14" t="s">
        <v>147</v>
      </c>
      <c r="S39" s="23" t="s">
        <v>147</v>
      </c>
      <c r="T39" s="21"/>
    </row>
    <row r="40" spans="1:20">
      <c r="A40" s="40" t="s">
        <v>54</v>
      </c>
      <c r="B40">
        <f>30*60</f>
        <v>1800</v>
      </c>
      <c r="D40">
        <f t="shared" si="4"/>
        <v>360</v>
      </c>
      <c r="E40">
        <f t="shared" si="5"/>
        <v>180</v>
      </c>
      <c r="F40" s="41">
        <v>180</v>
      </c>
      <c r="N40" s="27" t="s">
        <v>145</v>
      </c>
      <c r="O40" s="36">
        <v>6</v>
      </c>
      <c r="P40" s="14">
        <v>3</v>
      </c>
      <c r="Q40" s="14">
        <v>2</v>
      </c>
      <c r="R40" s="14">
        <v>1</v>
      </c>
      <c r="S40" s="23" t="s">
        <v>147</v>
      </c>
      <c r="T40" s="21"/>
    </row>
    <row r="41" spans="1:20">
      <c r="A41" s="42" t="s">
        <v>161</v>
      </c>
      <c r="B41" s="43">
        <f>30*60</f>
        <v>1800</v>
      </c>
      <c r="C41" s="44"/>
      <c r="D41" s="44">
        <f t="shared" si="4"/>
        <v>360</v>
      </c>
      <c r="E41" s="44">
        <f t="shared" si="5"/>
        <v>180</v>
      </c>
      <c r="F41" s="45">
        <v>180</v>
      </c>
      <c r="N41" s="27"/>
      <c r="O41" s="39" t="s">
        <v>162</v>
      </c>
      <c r="P41" s="100" t="s">
        <v>163</v>
      </c>
      <c r="Q41" s="100"/>
      <c r="R41" s="100"/>
      <c r="S41" s="101"/>
      <c r="T41" s="21"/>
    </row>
    <row r="42" spans="1:20">
      <c r="N42" s="27"/>
      <c r="Q42" s="37" t="s">
        <v>164</v>
      </c>
      <c r="R42" s="38" t="s">
        <v>165</v>
      </c>
      <c r="S42" s="28"/>
      <c r="T42" s="21"/>
    </row>
    <row r="43" spans="1:20">
      <c r="N43" s="27"/>
      <c r="S43" s="28"/>
      <c r="T43" s="21"/>
    </row>
    <row r="44" spans="1:20">
      <c r="N44" s="27"/>
      <c r="S44" s="28"/>
      <c r="T44" s="21"/>
    </row>
    <row r="45" spans="1:20" ht="16" thickBot="1">
      <c r="N45" s="27"/>
      <c r="S45" s="28"/>
      <c r="T45" s="21"/>
    </row>
    <row r="46" spans="1:20" ht="16" thickBot="1">
      <c r="N46" s="29"/>
      <c r="O46" s="24"/>
      <c r="P46" s="24"/>
      <c r="Q46" s="24"/>
      <c r="R46" s="24"/>
      <c r="S46" s="30"/>
      <c r="T46" s="34"/>
    </row>
  </sheetData>
  <mergeCells count="8">
    <mergeCell ref="N30:S30"/>
    <mergeCell ref="I25:L25"/>
    <mergeCell ref="P41:S41"/>
    <mergeCell ref="A1:C1"/>
    <mergeCell ref="A11:C11"/>
    <mergeCell ref="A20:F20"/>
    <mergeCell ref="N19:T19"/>
    <mergeCell ref="N20:O20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92EF-1A6C-48E8-BC7C-CCAD53975111}">
  <dimension ref="B1:Z18"/>
  <sheetViews>
    <sheetView topLeftCell="G1" workbookViewId="0">
      <selection activeCell="V19" sqref="V19"/>
    </sheetView>
  </sheetViews>
  <sheetFormatPr baseColWidth="10" defaultColWidth="9" defaultRowHeight="14"/>
  <cols>
    <col min="1" max="1" width="9" style="72"/>
    <col min="2" max="3" width="13.1640625" style="72" bestFit="1" customWidth="1"/>
    <col min="4" max="4" width="14.1640625" style="72" customWidth="1"/>
    <col min="5" max="5" width="11.6640625" style="72" bestFit="1" customWidth="1"/>
    <col min="6" max="6" width="35.6640625" style="72" customWidth="1"/>
    <col min="7" max="15" width="9" style="72"/>
    <col min="16" max="16" width="9.83203125" style="72" bestFit="1" customWidth="1"/>
    <col min="17" max="17" width="35.6640625" style="72" bestFit="1" customWidth="1"/>
    <col min="18" max="18" width="9.83203125" style="72" bestFit="1" customWidth="1"/>
    <col min="19" max="19" width="10.33203125" style="72" bestFit="1" customWidth="1"/>
    <col min="20" max="20" width="9" style="72"/>
    <col min="21" max="21" width="10.1640625" style="72" bestFit="1" customWidth="1"/>
    <col min="22" max="22" width="32.6640625" style="72" bestFit="1" customWidth="1"/>
    <col min="23" max="23" width="6.5" style="72" bestFit="1" customWidth="1"/>
    <col min="24" max="24" width="9" style="72"/>
    <col min="25" max="25" width="9.83203125" style="72" bestFit="1" customWidth="1"/>
    <col min="26" max="16384" width="9" style="72"/>
  </cols>
  <sheetData>
    <row r="1" spans="2:26" ht="15" customHeight="1">
      <c r="B1" s="111" t="s">
        <v>194</v>
      </c>
      <c r="C1" s="69"/>
      <c r="D1" s="112" t="s">
        <v>195</v>
      </c>
      <c r="E1" s="111" t="s">
        <v>217</v>
      </c>
      <c r="F1" s="111" t="s">
        <v>218</v>
      </c>
      <c r="G1" s="109" t="s">
        <v>196</v>
      </c>
      <c r="H1" s="109" t="s">
        <v>197</v>
      </c>
      <c r="I1" s="109" t="s">
        <v>198</v>
      </c>
      <c r="J1" s="109" t="s">
        <v>199</v>
      </c>
      <c r="K1" s="110" t="s">
        <v>200</v>
      </c>
      <c r="L1" s="110" t="s">
        <v>201</v>
      </c>
      <c r="M1" s="110" t="s">
        <v>202</v>
      </c>
      <c r="N1" s="108" t="s">
        <v>203</v>
      </c>
      <c r="O1" s="86"/>
    </row>
    <row r="2" spans="2:26" ht="15" customHeight="1">
      <c r="B2" s="111"/>
      <c r="C2" s="70" t="s">
        <v>204</v>
      </c>
      <c r="D2" s="112"/>
      <c r="E2" s="111"/>
      <c r="F2" s="111"/>
      <c r="G2" s="109"/>
      <c r="H2" s="109"/>
      <c r="I2" s="109"/>
      <c r="J2" s="109"/>
      <c r="K2" s="110"/>
      <c r="L2" s="110"/>
      <c r="M2" s="110"/>
      <c r="N2" s="108"/>
      <c r="O2" s="86"/>
    </row>
    <row r="3" spans="2:26">
      <c r="B3" s="111"/>
      <c r="C3" s="71"/>
      <c r="D3" s="112"/>
      <c r="E3" s="111"/>
      <c r="F3" s="111"/>
      <c r="G3" s="109"/>
      <c r="H3" s="109"/>
      <c r="I3" s="109"/>
      <c r="J3" s="109"/>
      <c r="K3" s="110"/>
      <c r="L3" s="110"/>
      <c r="M3" s="110"/>
      <c r="N3" s="108"/>
      <c r="O3" s="86"/>
      <c r="Q3" s="75" t="s">
        <v>205</v>
      </c>
      <c r="R3" s="75" t="s">
        <v>206</v>
      </c>
      <c r="S3" s="75" t="s">
        <v>207</v>
      </c>
      <c r="T3" s="75" t="s">
        <v>4</v>
      </c>
      <c r="U3" s="75" t="s">
        <v>208</v>
      </c>
      <c r="V3" s="75" t="s">
        <v>209</v>
      </c>
      <c r="W3" s="75" t="s">
        <v>7</v>
      </c>
      <c r="Y3" s="75" t="s">
        <v>206</v>
      </c>
      <c r="Z3" s="75" t="s">
        <v>210</v>
      </c>
    </row>
    <row r="4" spans="2:26">
      <c r="B4" s="80" t="s">
        <v>168</v>
      </c>
      <c r="C4" s="80" t="s">
        <v>169</v>
      </c>
      <c r="D4" s="80">
        <v>10713073</v>
      </c>
      <c r="E4" s="76">
        <v>150881768</v>
      </c>
      <c r="F4" s="89" t="s">
        <v>211</v>
      </c>
      <c r="G4" s="83">
        <v>10</v>
      </c>
      <c r="H4" s="80">
        <v>0.22</v>
      </c>
      <c r="I4" s="80">
        <v>9.7799999999999994</v>
      </c>
      <c r="J4" s="80"/>
      <c r="K4" s="80">
        <v>132026009</v>
      </c>
      <c r="L4" s="80" t="s">
        <v>173</v>
      </c>
      <c r="M4" s="80">
        <v>20447692</v>
      </c>
      <c r="N4" s="80" t="s">
        <v>176</v>
      </c>
      <c r="O4" s="87"/>
      <c r="P4" s="88">
        <f>R4</f>
        <v>150881768</v>
      </c>
      <c r="Q4" s="73" t="s">
        <v>211</v>
      </c>
      <c r="R4" s="73">
        <v>150881768</v>
      </c>
      <c r="S4" s="73">
        <v>39.619999999999997</v>
      </c>
      <c r="T4" s="73" t="s">
        <v>14</v>
      </c>
      <c r="U4" s="74">
        <v>46171</v>
      </c>
      <c r="V4" s="73" t="s">
        <v>216</v>
      </c>
      <c r="W4" s="73"/>
      <c r="Y4" s="73">
        <v>150881768</v>
      </c>
      <c r="Z4" s="73" t="s">
        <v>44</v>
      </c>
    </row>
    <row r="5" spans="2:26">
      <c r="B5" s="80" t="s">
        <v>168</v>
      </c>
      <c r="C5" s="80" t="s">
        <v>170</v>
      </c>
      <c r="D5" s="80">
        <v>10958861</v>
      </c>
      <c r="E5" s="77">
        <v>150928850</v>
      </c>
      <c r="F5" s="89" t="s">
        <v>212</v>
      </c>
      <c r="G5" s="83">
        <v>23</v>
      </c>
      <c r="H5" s="80">
        <v>1.0900000000000001</v>
      </c>
      <c r="I5" s="80">
        <v>22.85</v>
      </c>
      <c r="J5" s="80"/>
      <c r="K5" s="80">
        <v>132026014</v>
      </c>
      <c r="L5" s="80" t="s">
        <v>174</v>
      </c>
      <c r="M5" s="80">
        <v>20694088</v>
      </c>
      <c r="N5" s="80" t="s">
        <v>177</v>
      </c>
      <c r="O5" s="87"/>
      <c r="P5" s="88">
        <f t="shared" ref="P5:P8" si="0">R5</f>
        <v>150928850</v>
      </c>
      <c r="Q5" s="73" t="s">
        <v>212</v>
      </c>
      <c r="R5" s="73">
        <v>150928850</v>
      </c>
      <c r="S5" s="73">
        <v>47.88</v>
      </c>
      <c r="T5" s="73" t="s">
        <v>14</v>
      </c>
      <c r="U5" s="74">
        <v>46171</v>
      </c>
      <c r="V5" s="73" t="s">
        <v>216</v>
      </c>
      <c r="W5" s="73"/>
      <c r="Y5" s="73">
        <v>150928850</v>
      </c>
      <c r="Z5" s="73" t="s">
        <v>44</v>
      </c>
    </row>
    <row r="6" spans="2:26">
      <c r="B6" s="80" t="s">
        <v>168</v>
      </c>
      <c r="C6" s="80" t="s">
        <v>170</v>
      </c>
      <c r="D6" s="80">
        <v>10958861</v>
      </c>
      <c r="E6" s="77">
        <v>150928850</v>
      </c>
      <c r="F6" s="89" t="s">
        <v>212</v>
      </c>
      <c r="G6" s="83">
        <v>25</v>
      </c>
      <c r="H6" s="80">
        <v>1.0900000000000001</v>
      </c>
      <c r="I6" s="80">
        <v>25.03</v>
      </c>
      <c r="J6" s="80"/>
      <c r="K6" s="80">
        <v>132026014</v>
      </c>
      <c r="L6" s="80" t="s">
        <v>174</v>
      </c>
      <c r="M6" s="80">
        <v>20694088</v>
      </c>
      <c r="N6" s="80" t="s">
        <v>177</v>
      </c>
      <c r="O6" s="87"/>
      <c r="P6" s="88">
        <f t="shared" si="0"/>
        <v>150943657</v>
      </c>
      <c r="Q6" s="73" t="s">
        <v>213</v>
      </c>
      <c r="R6" s="73">
        <v>150943657</v>
      </c>
      <c r="S6" s="73">
        <v>4.08</v>
      </c>
      <c r="T6" s="73" t="s">
        <v>14</v>
      </c>
      <c r="U6" s="74">
        <v>46171</v>
      </c>
      <c r="V6" s="73" t="s">
        <v>216</v>
      </c>
      <c r="W6" s="73"/>
      <c r="Y6" s="73">
        <v>150943657</v>
      </c>
      <c r="Z6" s="73" t="s">
        <v>44</v>
      </c>
    </row>
    <row r="7" spans="2:26">
      <c r="B7" s="80" t="s">
        <v>171</v>
      </c>
      <c r="C7" s="80" t="s">
        <v>172</v>
      </c>
      <c r="D7" s="80">
        <v>10235754</v>
      </c>
      <c r="E7" s="85">
        <v>150943657</v>
      </c>
      <c r="F7" s="89" t="s">
        <v>213</v>
      </c>
      <c r="G7" s="83">
        <v>4</v>
      </c>
      <c r="H7" s="80">
        <v>0.22</v>
      </c>
      <c r="I7" s="80">
        <v>4.08</v>
      </c>
      <c r="J7" s="80"/>
      <c r="K7" s="80">
        <v>132026008</v>
      </c>
      <c r="L7" s="80" t="s">
        <v>175</v>
      </c>
      <c r="M7" s="80">
        <v>20912619</v>
      </c>
      <c r="N7" s="80" t="s">
        <v>178</v>
      </c>
      <c r="O7" s="87"/>
      <c r="P7" s="88">
        <f t="shared" si="0"/>
        <v>150943838</v>
      </c>
      <c r="Q7" s="73" t="s">
        <v>214</v>
      </c>
      <c r="R7" s="73">
        <v>150943838</v>
      </c>
      <c r="S7" s="73">
        <v>19.87</v>
      </c>
      <c r="T7" s="73" t="s">
        <v>14</v>
      </c>
      <c r="U7" s="74">
        <v>46171</v>
      </c>
      <c r="V7" s="73" t="s">
        <v>216</v>
      </c>
      <c r="W7" s="73"/>
      <c r="Y7" s="73">
        <v>150943838</v>
      </c>
      <c r="Z7" s="73" t="s">
        <v>44</v>
      </c>
    </row>
    <row r="8" spans="2:26">
      <c r="B8" s="80" t="s">
        <v>168</v>
      </c>
      <c r="C8" s="80" t="s">
        <v>169</v>
      </c>
      <c r="D8" s="80">
        <v>10713073</v>
      </c>
      <c r="E8" s="76">
        <v>150881768</v>
      </c>
      <c r="F8" s="89" t="s">
        <v>211</v>
      </c>
      <c r="G8" s="83">
        <v>11</v>
      </c>
      <c r="H8" s="80">
        <v>0.22</v>
      </c>
      <c r="I8" s="80">
        <v>10.78</v>
      </c>
      <c r="J8" s="80"/>
      <c r="K8" s="80">
        <v>132026009</v>
      </c>
      <c r="L8" s="80" t="s">
        <v>173</v>
      </c>
      <c r="M8" s="80">
        <v>20447692</v>
      </c>
      <c r="N8" s="80" t="s">
        <v>179</v>
      </c>
      <c r="O8" s="87"/>
      <c r="P8" s="88">
        <f t="shared" si="0"/>
        <v>151009917</v>
      </c>
      <c r="Q8" s="73" t="s">
        <v>215</v>
      </c>
      <c r="R8" s="73">
        <v>151009917</v>
      </c>
      <c r="S8" s="73">
        <v>15.95</v>
      </c>
      <c r="T8" s="73" t="s">
        <v>14</v>
      </c>
      <c r="U8" s="74">
        <v>46171</v>
      </c>
      <c r="V8" s="73" t="s">
        <v>216</v>
      </c>
      <c r="W8" s="73"/>
      <c r="Y8" s="73">
        <v>151009917</v>
      </c>
      <c r="Z8" s="73" t="s">
        <v>44</v>
      </c>
    </row>
    <row r="9" spans="2:26">
      <c r="B9" s="80" t="s">
        <v>168</v>
      </c>
      <c r="C9" s="80" t="s">
        <v>169</v>
      </c>
      <c r="D9" s="80">
        <v>10713073</v>
      </c>
      <c r="E9" s="76">
        <v>150881768</v>
      </c>
      <c r="F9" s="89" t="s">
        <v>211</v>
      </c>
      <c r="G9" s="83">
        <v>10.5</v>
      </c>
      <c r="H9" s="80">
        <v>0.22</v>
      </c>
      <c r="I9" s="80">
        <v>10.28</v>
      </c>
      <c r="J9" s="80"/>
      <c r="K9" s="80">
        <v>132026009</v>
      </c>
      <c r="L9" s="80" t="s">
        <v>173</v>
      </c>
      <c r="M9" s="80">
        <v>20447692</v>
      </c>
      <c r="N9" s="80" t="s">
        <v>180</v>
      </c>
      <c r="O9" s="87"/>
    </row>
    <row r="10" spans="2:26">
      <c r="B10" s="80" t="s">
        <v>168</v>
      </c>
      <c r="C10" s="80" t="s">
        <v>169</v>
      </c>
      <c r="D10" s="80">
        <v>10713073</v>
      </c>
      <c r="E10" s="76">
        <v>150881768</v>
      </c>
      <c r="F10" s="89" t="s">
        <v>211</v>
      </c>
      <c r="G10" s="83">
        <v>9</v>
      </c>
      <c r="H10" s="80">
        <v>0.22</v>
      </c>
      <c r="I10" s="80">
        <v>8.7799999999999994</v>
      </c>
      <c r="J10" s="80"/>
      <c r="K10" s="80">
        <v>132026009</v>
      </c>
      <c r="L10" s="80" t="s">
        <v>173</v>
      </c>
      <c r="M10" s="80">
        <v>20447692</v>
      </c>
      <c r="N10" s="80" t="s">
        <v>181</v>
      </c>
      <c r="O10" s="87"/>
    </row>
    <row r="11" spans="2:26">
      <c r="B11" s="80" t="s">
        <v>168</v>
      </c>
      <c r="C11" s="80" t="s">
        <v>182</v>
      </c>
      <c r="D11" s="81">
        <v>11466468</v>
      </c>
      <c r="E11" s="78">
        <v>150943838</v>
      </c>
      <c r="F11" s="89" t="s">
        <v>214</v>
      </c>
      <c r="G11" s="83">
        <v>8.31</v>
      </c>
      <c r="H11" s="80">
        <v>0.22</v>
      </c>
      <c r="I11" s="80">
        <v>8.09</v>
      </c>
      <c r="J11" s="80"/>
      <c r="K11" s="80">
        <v>132026012</v>
      </c>
      <c r="L11" s="80" t="s">
        <v>184</v>
      </c>
      <c r="M11" s="84">
        <v>20912315</v>
      </c>
      <c r="N11" s="80" t="s">
        <v>186</v>
      </c>
      <c r="O11" s="87"/>
    </row>
    <row r="12" spans="2:26">
      <c r="B12" s="80" t="s">
        <v>168</v>
      </c>
      <c r="C12" s="80" t="s">
        <v>182</v>
      </c>
      <c r="D12" s="81">
        <v>11466468</v>
      </c>
      <c r="E12" s="78">
        <v>150943838</v>
      </c>
      <c r="F12" s="89" t="s">
        <v>214</v>
      </c>
      <c r="G12" s="83">
        <v>4.1100000000000003</v>
      </c>
      <c r="H12" s="80">
        <v>0.22</v>
      </c>
      <c r="I12" s="80">
        <v>3.89</v>
      </c>
      <c r="J12" s="80"/>
      <c r="K12" s="80">
        <v>132026012</v>
      </c>
      <c r="L12" s="80" t="s">
        <v>184</v>
      </c>
      <c r="M12" s="84">
        <v>20912315</v>
      </c>
      <c r="N12" s="80" t="s">
        <v>187</v>
      </c>
      <c r="O12" s="87"/>
    </row>
    <row r="13" spans="2:26">
      <c r="B13" s="80" t="s">
        <v>168</v>
      </c>
      <c r="C13" s="80" t="s">
        <v>182</v>
      </c>
      <c r="D13" s="81">
        <v>11466468</v>
      </c>
      <c r="E13" s="78">
        <v>150943838</v>
      </c>
      <c r="F13" s="89" t="s">
        <v>214</v>
      </c>
      <c r="G13" s="83">
        <v>4.66</v>
      </c>
      <c r="H13" s="80">
        <v>0.22</v>
      </c>
      <c r="I13" s="80">
        <v>4.4400000000000004</v>
      </c>
      <c r="J13" s="80"/>
      <c r="K13" s="80">
        <v>132026012</v>
      </c>
      <c r="L13" s="80" t="s">
        <v>184</v>
      </c>
      <c r="M13" s="84">
        <v>20912315</v>
      </c>
      <c r="N13" s="80" t="s">
        <v>188</v>
      </c>
      <c r="O13" s="87"/>
    </row>
    <row r="14" spans="2:26">
      <c r="B14" s="80" t="s">
        <v>168</v>
      </c>
      <c r="C14" s="80" t="s">
        <v>182</v>
      </c>
      <c r="D14" s="81">
        <v>11466468</v>
      </c>
      <c r="E14" s="78">
        <v>150943838</v>
      </c>
      <c r="F14" s="89" t="s">
        <v>214</v>
      </c>
      <c r="G14" s="83">
        <v>3.67</v>
      </c>
      <c r="H14" s="80">
        <v>0.22</v>
      </c>
      <c r="I14" s="80">
        <v>3.45</v>
      </c>
      <c r="J14" s="80"/>
      <c r="K14" s="80">
        <v>132026012</v>
      </c>
      <c r="L14" s="80" t="s">
        <v>184</v>
      </c>
      <c r="M14" s="84">
        <v>20912315</v>
      </c>
      <c r="N14" s="80" t="s">
        <v>189</v>
      </c>
      <c r="O14" s="87"/>
    </row>
    <row r="15" spans="2:26">
      <c r="B15" s="80" t="s">
        <v>168</v>
      </c>
      <c r="C15" s="80" t="s">
        <v>183</v>
      </c>
      <c r="D15" s="82">
        <v>11473935</v>
      </c>
      <c r="E15" s="79">
        <v>151009917</v>
      </c>
      <c r="F15" s="89" t="s">
        <v>215</v>
      </c>
      <c r="G15" s="83">
        <v>4.22</v>
      </c>
      <c r="H15" s="80">
        <v>0.22</v>
      </c>
      <c r="I15" s="80">
        <v>4</v>
      </c>
      <c r="J15" s="80"/>
      <c r="K15" s="80">
        <v>132026015</v>
      </c>
      <c r="L15" s="80" t="s">
        <v>185</v>
      </c>
      <c r="M15" s="84">
        <v>21305411</v>
      </c>
      <c r="N15" s="80" t="s">
        <v>190</v>
      </c>
      <c r="O15" s="87"/>
    </row>
    <row r="16" spans="2:26">
      <c r="B16" s="80" t="s">
        <v>168</v>
      </c>
      <c r="C16" s="80" t="s">
        <v>183</v>
      </c>
      <c r="D16" s="82">
        <v>11473935</v>
      </c>
      <c r="E16" s="79">
        <v>151009917</v>
      </c>
      <c r="F16" s="89" t="s">
        <v>215</v>
      </c>
      <c r="G16" s="83">
        <v>3.82</v>
      </c>
      <c r="H16" s="80">
        <v>0.22</v>
      </c>
      <c r="I16" s="80">
        <v>3.6</v>
      </c>
      <c r="J16" s="80"/>
      <c r="K16" s="80">
        <v>132026015</v>
      </c>
      <c r="L16" s="80" t="s">
        <v>185</v>
      </c>
      <c r="M16" s="84">
        <v>21305411</v>
      </c>
      <c r="N16" s="80" t="s">
        <v>191</v>
      </c>
      <c r="O16" s="87"/>
    </row>
    <row r="17" spans="2:15">
      <c r="B17" s="80" t="s">
        <v>168</v>
      </c>
      <c r="C17" s="80" t="s">
        <v>183</v>
      </c>
      <c r="D17" s="82">
        <v>11473935</v>
      </c>
      <c r="E17" s="79">
        <v>151009917</v>
      </c>
      <c r="F17" s="89" t="s">
        <v>215</v>
      </c>
      <c r="G17" s="83">
        <v>3.92</v>
      </c>
      <c r="H17" s="80">
        <v>0.22</v>
      </c>
      <c r="I17" s="80">
        <v>3.7</v>
      </c>
      <c r="J17" s="80"/>
      <c r="K17" s="80">
        <v>132026015</v>
      </c>
      <c r="L17" s="80" t="s">
        <v>185</v>
      </c>
      <c r="M17" s="84">
        <v>21305411</v>
      </c>
      <c r="N17" s="80" t="s">
        <v>192</v>
      </c>
      <c r="O17" s="87"/>
    </row>
    <row r="18" spans="2:15">
      <c r="B18" s="80" t="s">
        <v>168</v>
      </c>
      <c r="C18" s="80" t="s">
        <v>183</v>
      </c>
      <c r="D18" s="82">
        <v>11473935</v>
      </c>
      <c r="E18" s="79">
        <v>151009917</v>
      </c>
      <c r="F18" s="89" t="s">
        <v>215</v>
      </c>
      <c r="G18" s="83">
        <v>4.87</v>
      </c>
      <c r="H18" s="80">
        <v>0.22</v>
      </c>
      <c r="I18" s="80">
        <v>4.6500000000000004</v>
      </c>
      <c r="J18" s="80"/>
      <c r="K18" s="80">
        <v>132026015</v>
      </c>
      <c r="L18" s="80" t="s">
        <v>185</v>
      </c>
      <c r="M18" s="84">
        <v>21305411</v>
      </c>
      <c r="N18" s="80" t="s">
        <v>193</v>
      </c>
      <c r="O18" s="87"/>
    </row>
  </sheetData>
  <mergeCells count="12">
    <mergeCell ref="B1:B3"/>
    <mergeCell ref="D1:D3"/>
    <mergeCell ref="E1:E3"/>
    <mergeCell ref="F1:F3"/>
    <mergeCell ref="G1:G3"/>
    <mergeCell ref="N1:N3"/>
    <mergeCell ref="H1:H3"/>
    <mergeCell ref="I1:I3"/>
    <mergeCell ref="J1:J3"/>
    <mergeCell ref="K1:K3"/>
    <mergeCell ref="L1:L3"/>
    <mergeCell ref="M1:M3"/>
  </mergeCells>
  <phoneticPr fontId="2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6665D6F08DEF4DB10D0F5CFCEE61EB" ma:contentTypeVersion="6" ma:contentTypeDescription="Create a new document." ma:contentTypeScope="" ma:versionID="37f0ec72cac5b25f9db38d9dfca7ef67">
  <xsd:schema xmlns:xsd="http://www.w3.org/2001/XMLSchema" xmlns:xs="http://www.w3.org/2001/XMLSchema" xmlns:p="http://schemas.microsoft.com/office/2006/metadata/properties" xmlns:ns2="eca6f275-2d59-4b9d-98d2-137ada159ced" xmlns:ns3="316325d2-08bd-4a7c-a4a6-4fa9593baf2e" targetNamespace="http://schemas.microsoft.com/office/2006/metadata/properties" ma:root="true" ma:fieldsID="5b35e3e0fa457a132c87042a950a9944" ns2:_="" ns3:_="">
    <xsd:import namespace="eca6f275-2d59-4b9d-98d2-137ada159ced"/>
    <xsd:import namespace="316325d2-08bd-4a7c-a4a6-4fa9593baf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f275-2d59-4b9d-98d2-137ada159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25d2-08bd-4a7c-a4a6-4fa9593baf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16325d2-08bd-4a7c-a4a6-4fa9593baf2e">
      <UserInfo>
        <DisplayName>Licea Celeste (ext) USPO</DisplayName>
        <AccountId>40</AccountId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024EF4-B873-4872-B6C6-58E7A7BE276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A219DB6-E88F-4BC8-AB07-C3AE7BC59F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a6f275-2d59-4b9d-98d2-137ada159ced"/>
    <ds:schemaRef ds:uri="316325d2-08bd-4a7c-a4a6-4fa9593baf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FF224B-F097-4C3E-A843-4F3C909688B8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eca6f275-2d59-4b9d-98d2-137ada159ced"/>
    <ds:schemaRef ds:uri="http://purl.org/dc/dcmitype/"/>
    <ds:schemaRef ds:uri="316325d2-08bd-4a7c-a4a6-4fa9593baf2e"/>
    <ds:schemaRef ds:uri="http://schemas.microsoft.com/office/infopath/2007/PartnerControls"/>
    <ds:schemaRef ds:uri="http://purl.org/dc/terms/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594BBAEC-9E5F-4302-84A1-EC7E1E303F0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Main</vt:lpstr>
      <vt:lpstr>Components</vt:lpstr>
      <vt:lpstr>LSV Treatpack</vt:lpstr>
      <vt:lpstr>SSV Treatpack</vt:lpstr>
      <vt:lpstr>Seed Health</vt:lpstr>
      <vt:lpstr>SSV Line 3</vt:lpstr>
      <vt:lpstr>SSV Line 5</vt:lpstr>
      <vt:lpstr>SSV Line 6</vt:lpstr>
      <vt:lpstr>SSV Line 7</vt:lpstr>
      <vt:lpstr>LSV Line 1</vt:lpstr>
      <vt:lpstr>LSV Line 2</vt:lpstr>
      <vt:lpstr>LSV Gravity</vt:lpstr>
      <vt:lpstr>LSV Colorsort</vt:lpstr>
      <vt:lpstr>Resource Info</vt:lpstr>
      <vt:lpstr>Packaging Rates</vt:lpstr>
      <vt:lpstr>Sheet1</vt:lpstr>
      <vt:lpstr>Main!Print_Area</vt:lpstr>
      <vt:lpstr>Main!Print_Titles</vt:lpstr>
      <vt:lpstr>Today</vt:lpstr>
    </vt:vector>
  </TitlesOfParts>
  <Manager/>
  <Company>Syngenta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Aubrey Pitzer</dc:creator>
  <cp:keywords/>
  <dc:description/>
  <cp:lastModifiedBy>Camilo Restrepo</cp:lastModifiedBy>
  <cp:revision/>
  <dcterms:created xsi:type="dcterms:W3CDTF">2009-07-21T18:15:35Z</dcterms:created>
  <dcterms:modified xsi:type="dcterms:W3CDTF">2026-09-29T21:13:14Z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0x010100326665D6F08DEF4DB10D0F5CFCEE61EB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2026-09-29T21:11:19Z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38d05e65-155d-4ebb-9e56-d599caf2f759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50, 0, 1, 1</vt:lpwstr>
  </property>
</Properties>
</file>